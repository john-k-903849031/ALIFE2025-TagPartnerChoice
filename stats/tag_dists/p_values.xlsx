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a\Downloads\"/>
    </mc:Choice>
  </mc:AlternateContent>
  <xr:revisionPtr revIDLastSave="0" documentId="13_ncr:1_{92073212-D93F-4D0D-8F3C-3E1D50252D5A}" xr6:coauthVersionLast="47" xr6:coauthVersionMax="47" xr10:uidLastSave="{00000000-0000-0000-0000-000000000000}"/>
  <bookViews>
    <workbookView xWindow="4980" yWindow="2595" windowWidth="21600" windowHeight="12510" xr2:uid="{4E7D3D56-E422-4DEC-818F-58ED5687E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G25" i="1"/>
  <c r="H24" i="1"/>
  <c r="G24" i="1"/>
  <c r="H23" i="1"/>
  <c r="G23" i="1"/>
  <c r="H22" i="1"/>
  <c r="G22" i="1"/>
  <c r="H21" i="1"/>
  <c r="G21" i="1"/>
  <c r="F25" i="1"/>
  <c r="F24" i="1"/>
  <c r="F23" i="1"/>
  <c r="F22" i="1"/>
  <c r="F21" i="1"/>
  <c r="E297" i="1"/>
  <c r="E296" i="1"/>
  <c r="E295" i="1"/>
  <c r="E294" i="1"/>
  <c r="E293" i="1"/>
  <c r="E292" i="1"/>
  <c r="F292" i="1" s="1"/>
  <c r="G292" i="1" s="1"/>
  <c r="E291" i="1"/>
  <c r="F291" i="1" s="1"/>
  <c r="G291" i="1" s="1"/>
  <c r="E290" i="1"/>
  <c r="F290" i="1" s="1"/>
  <c r="G290" i="1" s="1"/>
  <c r="E289" i="1"/>
  <c r="E288" i="1"/>
  <c r="E287" i="1"/>
  <c r="F287" i="1" s="1"/>
  <c r="G287" i="1" s="1"/>
  <c r="E286" i="1"/>
  <c r="F286" i="1" s="1"/>
  <c r="G286" i="1" s="1"/>
  <c r="E285" i="1"/>
  <c r="F285" i="1" s="1"/>
  <c r="G285" i="1" s="1"/>
  <c r="E284" i="1"/>
  <c r="F284" i="1" s="1"/>
  <c r="G284" i="1" s="1"/>
  <c r="E283" i="1"/>
  <c r="E282" i="1"/>
  <c r="E281" i="1"/>
  <c r="E280" i="1"/>
  <c r="E279" i="1"/>
  <c r="E278" i="1"/>
  <c r="F278" i="1" s="1"/>
  <c r="G278" i="1" s="1"/>
  <c r="E277" i="1"/>
  <c r="F277" i="1" s="1"/>
  <c r="G277" i="1" s="1"/>
  <c r="E276" i="1"/>
  <c r="F276" i="1" s="1"/>
  <c r="G276" i="1" s="1"/>
  <c r="E275" i="1"/>
  <c r="F275" i="1" s="1"/>
  <c r="G275" i="1" s="1"/>
  <c r="E274" i="1"/>
  <c r="F274" i="1" s="1"/>
  <c r="G274" i="1" s="1"/>
  <c r="E273" i="1"/>
  <c r="F273" i="1" s="1"/>
  <c r="G273" i="1" s="1"/>
  <c r="E272" i="1"/>
  <c r="F272" i="1" s="1"/>
  <c r="G272" i="1" s="1"/>
  <c r="E271" i="1"/>
  <c r="F271" i="1" s="1"/>
  <c r="G271" i="1" s="1"/>
  <c r="E270" i="1"/>
  <c r="F270" i="1" s="1"/>
  <c r="G270" i="1" s="1"/>
  <c r="E269" i="1"/>
  <c r="E268" i="1"/>
  <c r="E267" i="1"/>
  <c r="E266" i="1"/>
  <c r="E265" i="1"/>
  <c r="E264" i="1"/>
  <c r="E263" i="1"/>
  <c r="F263" i="1" s="1"/>
  <c r="G263" i="1" s="1"/>
  <c r="E262" i="1"/>
  <c r="F262" i="1" s="1"/>
  <c r="G262" i="1" s="1"/>
  <c r="E261" i="1"/>
  <c r="F261" i="1" s="1"/>
  <c r="G261" i="1" s="1"/>
  <c r="E260" i="1"/>
  <c r="F260" i="1" s="1"/>
  <c r="G260" i="1" s="1"/>
  <c r="E259" i="1"/>
  <c r="F259" i="1" s="1"/>
  <c r="G259" i="1" s="1"/>
  <c r="E258" i="1"/>
  <c r="F258" i="1" s="1"/>
  <c r="G258" i="1" s="1"/>
  <c r="E257" i="1"/>
  <c r="F257" i="1" s="1"/>
  <c r="G257" i="1" s="1"/>
  <c r="E256" i="1"/>
  <c r="F256" i="1" s="1"/>
  <c r="G256" i="1" s="1"/>
  <c r="E255" i="1"/>
  <c r="E254" i="1"/>
  <c r="E253" i="1"/>
  <c r="E252" i="1"/>
  <c r="F252" i="1" s="1"/>
  <c r="G252" i="1" s="1"/>
  <c r="E251" i="1"/>
  <c r="F251" i="1" s="1"/>
  <c r="G251" i="1" s="1"/>
  <c r="E250" i="1"/>
  <c r="F250" i="1" s="1"/>
  <c r="G250" i="1" s="1"/>
  <c r="E249" i="1"/>
  <c r="F249" i="1" s="1"/>
  <c r="G249" i="1" s="1"/>
  <c r="E248" i="1"/>
  <c r="F248" i="1" s="1"/>
  <c r="G248" i="1" s="1"/>
  <c r="E247" i="1"/>
  <c r="F247" i="1" s="1"/>
  <c r="G247" i="1" s="1"/>
  <c r="E246" i="1"/>
  <c r="E245" i="1"/>
  <c r="E244" i="1"/>
  <c r="F244" i="1" s="1"/>
  <c r="G244" i="1" s="1"/>
  <c r="E243" i="1"/>
  <c r="F243" i="1" s="1"/>
  <c r="G243" i="1" s="1"/>
  <c r="E242" i="1"/>
  <c r="F242" i="1" s="1"/>
  <c r="G242" i="1" s="1"/>
  <c r="E241" i="1"/>
  <c r="E240" i="1"/>
  <c r="E239" i="1"/>
  <c r="E238" i="1"/>
  <c r="E237" i="1"/>
  <c r="E236" i="1"/>
  <c r="F236" i="1" s="1"/>
  <c r="G236" i="1" s="1"/>
  <c r="E235" i="1"/>
  <c r="F235" i="1" s="1"/>
  <c r="G235" i="1" s="1"/>
  <c r="E234" i="1"/>
  <c r="F234" i="1" s="1"/>
  <c r="G234" i="1" s="1"/>
  <c r="E233" i="1"/>
  <c r="F233" i="1" s="1"/>
  <c r="G233" i="1" s="1"/>
  <c r="E232" i="1"/>
  <c r="F232" i="1" s="1"/>
  <c r="G232" i="1" s="1"/>
  <c r="E231" i="1"/>
  <c r="F231" i="1" s="1"/>
  <c r="G231" i="1" s="1"/>
  <c r="E230" i="1"/>
  <c r="F230" i="1" s="1"/>
  <c r="G230" i="1" s="1"/>
  <c r="E229" i="1"/>
  <c r="F229" i="1" s="1"/>
  <c r="G229" i="1" s="1"/>
  <c r="E228" i="1"/>
  <c r="F228" i="1" s="1"/>
  <c r="G228" i="1" s="1"/>
  <c r="E227" i="1"/>
  <c r="E226" i="1"/>
  <c r="E225" i="1"/>
  <c r="E224" i="1"/>
  <c r="F224" i="1" s="1"/>
  <c r="G224" i="1" s="1"/>
  <c r="E223" i="1"/>
  <c r="F223" i="1" s="1"/>
  <c r="G223" i="1" s="1"/>
  <c r="E222" i="1"/>
  <c r="F222" i="1" s="1"/>
  <c r="G222" i="1" s="1"/>
  <c r="E221" i="1"/>
  <c r="F221" i="1" s="1"/>
  <c r="G221" i="1" s="1"/>
  <c r="E220" i="1"/>
  <c r="F220" i="1" s="1"/>
  <c r="G220" i="1" s="1"/>
  <c r="E219" i="1"/>
  <c r="F219" i="1" s="1"/>
  <c r="G219" i="1" s="1"/>
  <c r="E218" i="1"/>
  <c r="F218" i="1" s="1"/>
  <c r="G218" i="1" s="1"/>
  <c r="E217" i="1"/>
  <c r="F217" i="1" s="1"/>
  <c r="G217" i="1" s="1"/>
  <c r="E216" i="1"/>
  <c r="E215" i="1"/>
  <c r="F215" i="1" s="1"/>
  <c r="G215" i="1" s="1"/>
  <c r="E214" i="1"/>
  <c r="F214" i="1" s="1"/>
  <c r="G214" i="1" s="1"/>
  <c r="E213" i="1"/>
  <c r="E212" i="1"/>
  <c r="E211" i="1"/>
  <c r="E210" i="1"/>
  <c r="E209" i="1"/>
  <c r="E208" i="1"/>
  <c r="F208" i="1" s="1"/>
  <c r="G208" i="1" s="1"/>
  <c r="E207" i="1"/>
  <c r="E206" i="1"/>
  <c r="E205" i="1"/>
  <c r="F205" i="1" s="1"/>
  <c r="G205" i="1" s="1"/>
  <c r="E204" i="1"/>
  <c r="F204" i="1" s="1"/>
  <c r="G204" i="1" s="1"/>
  <c r="E203" i="1"/>
  <c r="F203" i="1" s="1"/>
  <c r="G203" i="1" s="1"/>
  <c r="E202" i="1"/>
  <c r="F202" i="1" s="1"/>
  <c r="G202" i="1" s="1"/>
  <c r="E201" i="1"/>
  <c r="F201" i="1" s="1"/>
  <c r="G201" i="1" s="1"/>
  <c r="E200" i="1"/>
  <c r="F200" i="1" s="1"/>
  <c r="G200" i="1" s="1"/>
  <c r="E199" i="1"/>
  <c r="E198" i="1"/>
  <c r="E197" i="1"/>
  <c r="E196" i="1"/>
  <c r="E195" i="1"/>
  <c r="E194" i="1"/>
  <c r="F194" i="1" s="1"/>
  <c r="G194" i="1" s="1"/>
  <c r="E193" i="1"/>
  <c r="F193" i="1" s="1"/>
  <c r="G193" i="1" s="1"/>
  <c r="E192" i="1"/>
  <c r="F192" i="1" s="1"/>
  <c r="G192" i="1" s="1"/>
  <c r="E191" i="1"/>
  <c r="F191" i="1" s="1"/>
  <c r="G191" i="1" s="1"/>
  <c r="E190" i="1"/>
  <c r="F190" i="1" s="1"/>
  <c r="G190" i="1" s="1"/>
  <c r="E189" i="1"/>
  <c r="F189" i="1" s="1"/>
  <c r="G189" i="1" s="1"/>
  <c r="E188" i="1"/>
  <c r="F188" i="1" s="1"/>
  <c r="G188" i="1" s="1"/>
  <c r="E187" i="1"/>
  <c r="F187" i="1" s="1"/>
  <c r="G187" i="1" s="1"/>
  <c r="E186" i="1"/>
  <c r="F186" i="1" s="1"/>
  <c r="G186" i="1" s="1"/>
  <c r="E185" i="1"/>
  <c r="E184" i="1"/>
  <c r="E183" i="1"/>
  <c r="E182" i="1"/>
  <c r="E181" i="1"/>
  <c r="E180" i="1"/>
  <c r="E179" i="1"/>
  <c r="E178" i="1"/>
  <c r="E177" i="1"/>
  <c r="F177" i="1" s="1"/>
  <c r="G177" i="1" s="1"/>
  <c r="E176" i="1"/>
  <c r="F176" i="1" s="1"/>
  <c r="G176" i="1" s="1"/>
  <c r="E175" i="1"/>
  <c r="F175" i="1" s="1"/>
  <c r="G175" i="1" s="1"/>
  <c r="E174" i="1"/>
  <c r="F174" i="1" s="1"/>
  <c r="G174" i="1" s="1"/>
  <c r="E173" i="1"/>
  <c r="F173" i="1" s="1"/>
  <c r="G173" i="1" s="1"/>
  <c r="E172" i="1"/>
  <c r="F172" i="1" s="1"/>
  <c r="G172" i="1" s="1"/>
  <c r="E171" i="1"/>
  <c r="E170" i="1"/>
  <c r="E169" i="1"/>
  <c r="E168" i="1"/>
  <c r="E167" i="1"/>
  <c r="E166" i="1"/>
  <c r="E165" i="1"/>
  <c r="E164" i="1"/>
  <c r="E163" i="1"/>
  <c r="F163" i="1" s="1"/>
  <c r="G163" i="1" s="1"/>
  <c r="E162" i="1"/>
  <c r="F162" i="1" s="1"/>
  <c r="G162" i="1" s="1"/>
  <c r="E161" i="1"/>
  <c r="F161" i="1" s="1"/>
  <c r="G161" i="1" s="1"/>
  <c r="E160" i="1"/>
  <c r="F160" i="1" s="1"/>
  <c r="G160" i="1" s="1"/>
  <c r="E159" i="1"/>
  <c r="F159" i="1" s="1"/>
  <c r="G159" i="1" s="1"/>
  <c r="E158" i="1"/>
  <c r="F158" i="1" s="1"/>
  <c r="G158" i="1" s="1"/>
  <c r="E157" i="1"/>
  <c r="E156" i="1"/>
  <c r="E155" i="1"/>
  <c r="F155" i="1" s="1"/>
  <c r="G155" i="1" s="1"/>
  <c r="E154" i="1"/>
  <c r="F154" i="1" s="1"/>
  <c r="G154" i="1" s="1"/>
  <c r="E153" i="1"/>
  <c r="F153" i="1" s="1"/>
  <c r="G153" i="1" s="1"/>
  <c r="E152" i="1"/>
  <c r="F152" i="1" s="1"/>
  <c r="G152" i="1" s="1"/>
  <c r="E151" i="1"/>
  <c r="F151" i="1" s="1"/>
  <c r="G151" i="1" s="1"/>
  <c r="E150" i="1"/>
  <c r="F150" i="1" s="1"/>
  <c r="G150" i="1" s="1"/>
  <c r="E149" i="1"/>
  <c r="F149" i="1" s="1"/>
  <c r="G149" i="1" s="1"/>
  <c r="E148" i="1"/>
  <c r="F148" i="1" s="1"/>
  <c r="G148" i="1" s="1"/>
  <c r="E147" i="1"/>
  <c r="F147" i="1" s="1"/>
  <c r="G147" i="1" s="1"/>
  <c r="E146" i="1"/>
  <c r="F146" i="1" s="1"/>
  <c r="G146" i="1" s="1"/>
  <c r="E145" i="1"/>
  <c r="F145" i="1" s="1"/>
  <c r="G145" i="1" s="1"/>
  <c r="E144" i="1"/>
  <c r="F144" i="1" s="1"/>
  <c r="G144" i="1" s="1"/>
  <c r="E143" i="1"/>
  <c r="E142" i="1"/>
  <c r="E141" i="1"/>
  <c r="E140" i="1"/>
  <c r="E139" i="1"/>
  <c r="E138" i="1"/>
  <c r="E137" i="1"/>
  <c r="E136" i="1"/>
  <c r="E135" i="1"/>
  <c r="E134" i="1"/>
  <c r="E133" i="1"/>
  <c r="F133" i="1" s="1"/>
  <c r="G133" i="1" s="1"/>
  <c r="E132" i="1"/>
  <c r="F132" i="1" s="1"/>
  <c r="G132" i="1" s="1"/>
  <c r="E131" i="1"/>
  <c r="F131" i="1" s="1"/>
  <c r="G131" i="1" s="1"/>
  <c r="E130" i="1"/>
  <c r="F130" i="1" s="1"/>
  <c r="G130" i="1" s="1"/>
  <c r="E129" i="1"/>
  <c r="E128" i="1"/>
  <c r="E127" i="1"/>
  <c r="E126" i="1"/>
  <c r="E125" i="1"/>
  <c r="F125" i="1" s="1"/>
  <c r="G125" i="1" s="1"/>
  <c r="E124" i="1"/>
  <c r="F124" i="1" s="1"/>
  <c r="G124" i="1" s="1"/>
  <c r="E123" i="1"/>
  <c r="F123" i="1" s="1"/>
  <c r="G123" i="1" s="1"/>
  <c r="E122" i="1"/>
  <c r="F122" i="1" s="1"/>
  <c r="G122" i="1" s="1"/>
  <c r="E121" i="1"/>
  <c r="F121" i="1" s="1"/>
  <c r="G121" i="1" s="1"/>
  <c r="E120" i="1"/>
  <c r="F120" i="1" s="1"/>
  <c r="G120" i="1" s="1"/>
  <c r="E119" i="1"/>
  <c r="F119" i="1" s="1"/>
  <c r="G119" i="1" s="1"/>
  <c r="E118" i="1"/>
  <c r="F118" i="1" s="1"/>
  <c r="G118" i="1" s="1"/>
  <c r="E117" i="1"/>
  <c r="F117" i="1" s="1"/>
  <c r="G117" i="1" s="1"/>
  <c r="E116" i="1"/>
  <c r="F116" i="1" s="1"/>
  <c r="G116" i="1" s="1"/>
  <c r="E115" i="1"/>
  <c r="E114" i="1"/>
  <c r="E113" i="1"/>
  <c r="E112" i="1"/>
  <c r="E111" i="1"/>
  <c r="E110" i="1"/>
  <c r="E109" i="1"/>
  <c r="E108" i="1"/>
  <c r="E107" i="1"/>
  <c r="F107" i="1" s="1"/>
  <c r="G107" i="1" s="1"/>
  <c r="E106" i="1"/>
  <c r="F106" i="1" s="1"/>
  <c r="G106" i="1" s="1"/>
  <c r="E105" i="1"/>
  <c r="F105" i="1" s="1"/>
  <c r="G105" i="1" s="1"/>
  <c r="E104" i="1"/>
  <c r="F104" i="1" s="1"/>
  <c r="G104" i="1" s="1"/>
  <c r="E103" i="1"/>
  <c r="F103" i="1" s="1"/>
  <c r="G103" i="1" s="1"/>
  <c r="E102" i="1"/>
  <c r="F102" i="1" s="1"/>
  <c r="G102" i="1" s="1"/>
  <c r="E101" i="1"/>
  <c r="E100" i="1"/>
  <c r="E99" i="1"/>
  <c r="E98" i="1"/>
  <c r="E97" i="1"/>
  <c r="E96" i="1"/>
  <c r="F96" i="1" s="1"/>
  <c r="G96" i="1" s="1"/>
  <c r="E95" i="1"/>
  <c r="E94" i="1"/>
  <c r="E93" i="1"/>
  <c r="E92" i="1"/>
  <c r="F92" i="1" s="1"/>
  <c r="G92" i="1" s="1"/>
  <c r="E91" i="1"/>
  <c r="F91" i="1" s="1"/>
  <c r="G91" i="1" s="1"/>
  <c r="E90" i="1"/>
  <c r="F90" i="1" s="1"/>
  <c r="G90" i="1" s="1"/>
  <c r="E89" i="1"/>
  <c r="F89" i="1" s="1"/>
  <c r="G89" i="1" s="1"/>
  <c r="E88" i="1"/>
  <c r="F88" i="1" s="1"/>
  <c r="G88" i="1" s="1"/>
  <c r="E87" i="1"/>
  <c r="E86" i="1"/>
  <c r="E85" i="1"/>
  <c r="F85" i="1" s="1"/>
  <c r="G85" i="1" s="1"/>
  <c r="E84" i="1"/>
  <c r="F84" i="1" s="1"/>
  <c r="G84" i="1" s="1"/>
  <c r="E83" i="1"/>
  <c r="F83" i="1" s="1"/>
  <c r="G83" i="1" s="1"/>
  <c r="E82" i="1"/>
  <c r="F82" i="1" s="1"/>
  <c r="G82" i="1" s="1"/>
  <c r="E81" i="1"/>
  <c r="F81" i="1" s="1"/>
  <c r="G81" i="1" s="1"/>
  <c r="E80" i="1"/>
  <c r="F80" i="1" s="1"/>
  <c r="G80" i="1" s="1"/>
  <c r="E79" i="1"/>
  <c r="F79" i="1" s="1"/>
  <c r="G79" i="1" s="1"/>
  <c r="E78" i="1"/>
  <c r="F78" i="1" s="1"/>
  <c r="G78" i="1" s="1"/>
  <c r="E77" i="1"/>
  <c r="F77" i="1" s="1"/>
  <c r="G77" i="1" s="1"/>
  <c r="E76" i="1"/>
  <c r="F76" i="1" s="1"/>
  <c r="G76" i="1" s="1"/>
  <c r="E75" i="1"/>
  <c r="F75" i="1" s="1"/>
  <c r="G75" i="1" s="1"/>
  <c r="E74" i="1"/>
  <c r="F74" i="1" s="1"/>
  <c r="G74" i="1" s="1"/>
  <c r="E73" i="1"/>
  <c r="E72" i="1"/>
  <c r="E71" i="1"/>
  <c r="E70" i="1"/>
  <c r="E69" i="1"/>
  <c r="E68" i="1"/>
  <c r="E67" i="1"/>
  <c r="E66" i="1"/>
  <c r="E65" i="1"/>
  <c r="E64" i="1"/>
  <c r="E63" i="1"/>
  <c r="E62" i="1"/>
  <c r="F62" i="1" s="1"/>
  <c r="G62" i="1" s="1"/>
  <c r="E61" i="1"/>
  <c r="F61" i="1" s="1"/>
  <c r="G61" i="1" s="1"/>
  <c r="E60" i="1"/>
  <c r="F60" i="1" s="1"/>
  <c r="G60" i="1" s="1"/>
  <c r="E59" i="1"/>
  <c r="E58" i="1"/>
  <c r="E57" i="1"/>
  <c r="E56" i="1"/>
  <c r="E55" i="1"/>
  <c r="E54" i="1"/>
  <c r="F54" i="1" s="1"/>
  <c r="G54" i="1" s="1"/>
  <c r="E53" i="1"/>
  <c r="F53" i="1" s="1"/>
  <c r="G53" i="1" s="1"/>
  <c r="E52" i="1"/>
  <c r="F52" i="1" s="1"/>
  <c r="G52" i="1" s="1"/>
  <c r="E51" i="1"/>
  <c r="F51" i="1" s="1"/>
  <c r="G51" i="1" s="1"/>
  <c r="E50" i="1"/>
  <c r="F50" i="1" s="1"/>
  <c r="G50" i="1" s="1"/>
  <c r="E49" i="1"/>
  <c r="F49" i="1" s="1"/>
  <c r="G49" i="1" s="1"/>
  <c r="E48" i="1"/>
  <c r="F48" i="1" s="1"/>
  <c r="G48" i="1" s="1"/>
  <c r="E47" i="1"/>
  <c r="F47" i="1" s="1"/>
  <c r="G47" i="1" s="1"/>
  <c r="E46" i="1"/>
  <c r="F46" i="1" s="1"/>
  <c r="G46" i="1" s="1"/>
  <c r="E45" i="1"/>
  <c r="E44" i="1"/>
  <c r="E43" i="1"/>
  <c r="E42" i="1"/>
  <c r="E41" i="1"/>
  <c r="E40" i="1"/>
  <c r="E39" i="1"/>
  <c r="E38" i="1"/>
  <c r="E37" i="1"/>
  <c r="F37" i="1" s="1"/>
  <c r="G37" i="1" s="1"/>
  <c r="E36" i="1"/>
  <c r="F36" i="1" s="1"/>
  <c r="G36" i="1" s="1"/>
  <c r="E35" i="1"/>
  <c r="F35" i="1" s="1"/>
  <c r="G35" i="1" s="1"/>
  <c r="E34" i="1"/>
  <c r="F34" i="1" s="1"/>
  <c r="G34" i="1" s="1"/>
  <c r="E33" i="1"/>
  <c r="F33" i="1" s="1"/>
  <c r="G33" i="1" s="1"/>
  <c r="E32" i="1"/>
  <c r="F32" i="1" s="1"/>
  <c r="G32" i="1" s="1"/>
  <c r="E31" i="1"/>
  <c r="E30" i="1"/>
  <c r="E29" i="1"/>
  <c r="E28" i="1"/>
  <c r="E27" i="1"/>
  <c r="E26" i="1"/>
  <c r="E25" i="1"/>
  <c r="E24" i="1"/>
  <c r="E23" i="1"/>
  <c r="E22" i="1"/>
  <c r="E21" i="1"/>
  <c r="E20" i="1"/>
  <c r="F20" i="1" s="1"/>
  <c r="G20" i="1" s="1"/>
  <c r="E19" i="1"/>
  <c r="F19" i="1" s="1"/>
  <c r="G19" i="1" s="1"/>
  <c r="E18" i="1"/>
  <c r="F18" i="1" s="1"/>
  <c r="G18" i="1" s="1"/>
  <c r="E17" i="1"/>
  <c r="E16" i="1"/>
  <c r="E15" i="1"/>
  <c r="E14" i="1"/>
  <c r="E13" i="1"/>
  <c r="F13" i="1" s="1"/>
  <c r="G13" i="1" s="1"/>
  <c r="E12" i="1"/>
  <c r="E11" i="1"/>
  <c r="E10" i="1"/>
  <c r="E9" i="1"/>
  <c r="F9" i="1" s="1"/>
  <c r="G9" i="1" s="1"/>
  <c r="E8" i="1"/>
  <c r="F8" i="1" s="1"/>
  <c r="G8" i="1" s="1"/>
  <c r="E7" i="1"/>
  <c r="F7" i="1" s="1"/>
  <c r="G7" i="1" s="1"/>
  <c r="E6" i="1"/>
  <c r="F6" i="1" s="1"/>
  <c r="G6" i="1" s="1"/>
  <c r="E5" i="1"/>
  <c r="F5" i="1" s="1"/>
  <c r="G5" i="1" s="1"/>
  <c r="E4" i="1"/>
  <c r="F4" i="1" s="1"/>
  <c r="G4" i="1" s="1"/>
  <c r="E3" i="1"/>
  <c r="E2" i="1"/>
  <c r="F289" i="1"/>
  <c r="G289" i="1" s="1"/>
  <c r="F288" i="1"/>
  <c r="G288" i="1" s="1"/>
  <c r="F279" i="1"/>
  <c r="G279" i="1" s="1"/>
  <c r="F246" i="1"/>
  <c r="G246" i="1" s="1"/>
  <c r="F245" i="1"/>
  <c r="G245" i="1" s="1"/>
  <c r="F216" i="1"/>
  <c r="G216" i="1" s="1"/>
  <c r="F207" i="1"/>
  <c r="G207" i="1" s="1"/>
  <c r="F206" i="1"/>
  <c r="G206" i="1" s="1"/>
  <c r="F180" i="1"/>
  <c r="G180" i="1" s="1"/>
  <c r="F179" i="1"/>
  <c r="G179" i="1" s="1"/>
  <c r="F178" i="1"/>
  <c r="G178" i="1" s="1"/>
  <c r="F165" i="1"/>
  <c r="G165" i="1" s="1"/>
  <c r="F164" i="1"/>
  <c r="G164" i="1" s="1"/>
  <c r="F137" i="1"/>
  <c r="G137" i="1" s="1"/>
  <c r="F136" i="1"/>
  <c r="G136" i="1" s="1"/>
  <c r="F135" i="1"/>
  <c r="G135" i="1" s="1"/>
  <c r="F134" i="1"/>
  <c r="G134" i="1" s="1"/>
  <c r="F110" i="1"/>
  <c r="G110" i="1" s="1"/>
  <c r="F109" i="1"/>
  <c r="G109" i="1" s="1"/>
  <c r="F108" i="1"/>
  <c r="G108" i="1" s="1"/>
  <c r="F95" i="1"/>
  <c r="G95" i="1" s="1"/>
  <c r="F94" i="1"/>
  <c r="G94" i="1" s="1"/>
  <c r="F93" i="1"/>
  <c r="G93" i="1" s="1"/>
  <c r="F67" i="1"/>
  <c r="G67" i="1" s="1"/>
  <c r="F66" i="1"/>
  <c r="G66" i="1" s="1"/>
  <c r="F65" i="1"/>
  <c r="G65" i="1" s="1"/>
  <c r="F64" i="1"/>
  <c r="G64" i="1" s="1"/>
  <c r="F63" i="1"/>
  <c r="G63" i="1" s="1"/>
  <c r="F40" i="1"/>
  <c r="G40" i="1" s="1"/>
  <c r="F39" i="1"/>
  <c r="F38" i="1"/>
  <c r="G38" i="1" s="1"/>
  <c r="F26" i="1"/>
  <c r="G26" i="1" s="1"/>
  <c r="F17" i="1"/>
  <c r="G17" i="1" s="1"/>
  <c r="F16" i="1"/>
  <c r="G16" i="1" s="1"/>
  <c r="F15" i="1"/>
  <c r="G15" i="1" s="1"/>
  <c r="F14" i="1"/>
  <c r="G14" i="1" s="1"/>
  <c r="F3" i="1"/>
  <c r="G3" i="1" s="1"/>
  <c r="F2" i="1"/>
  <c r="G2" i="1" s="1"/>
  <c r="G39" i="1"/>
  <c r="F297" i="1"/>
  <c r="G297" i="1" s="1"/>
  <c r="F296" i="1"/>
  <c r="G296" i="1" s="1"/>
  <c r="F295" i="1"/>
  <c r="G295" i="1" s="1"/>
  <c r="F294" i="1"/>
  <c r="G294" i="1" s="1"/>
  <c r="F293" i="1"/>
  <c r="G293" i="1" s="1"/>
  <c r="F283" i="1"/>
  <c r="G283" i="1" s="1"/>
  <c r="F282" i="1"/>
  <c r="G282" i="1" s="1"/>
  <c r="F281" i="1"/>
  <c r="G281" i="1" s="1"/>
  <c r="F280" i="1"/>
  <c r="G28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55" i="1"/>
  <c r="G255" i="1" s="1"/>
  <c r="F254" i="1"/>
  <c r="G254" i="1" s="1"/>
  <c r="F253" i="1"/>
  <c r="G253" i="1" s="1"/>
  <c r="F241" i="1"/>
  <c r="G241" i="1" s="1"/>
  <c r="F240" i="1"/>
  <c r="G240" i="1" s="1"/>
  <c r="F239" i="1"/>
  <c r="G239" i="1" s="1"/>
  <c r="F238" i="1"/>
  <c r="G238" i="1" s="1"/>
  <c r="F237" i="1"/>
  <c r="G237" i="1" s="1"/>
  <c r="F227" i="1"/>
  <c r="G227" i="1" s="1"/>
  <c r="F226" i="1"/>
  <c r="G226" i="1" s="1"/>
  <c r="F225" i="1"/>
  <c r="G225" i="1" s="1"/>
  <c r="F213" i="1"/>
  <c r="G213" i="1" s="1"/>
  <c r="F212" i="1"/>
  <c r="G212" i="1" s="1"/>
  <c r="F211" i="1"/>
  <c r="G211" i="1" s="1"/>
  <c r="F210" i="1"/>
  <c r="G210" i="1" s="1"/>
  <c r="F209" i="1"/>
  <c r="G209" i="1" s="1"/>
  <c r="F199" i="1"/>
  <c r="G199" i="1" s="1"/>
  <c r="F198" i="1"/>
  <c r="G198" i="1" s="1"/>
  <c r="F197" i="1"/>
  <c r="G197" i="1" s="1"/>
  <c r="F196" i="1"/>
  <c r="G196" i="1" s="1"/>
  <c r="F195" i="1"/>
  <c r="G195" i="1" s="1"/>
  <c r="F185" i="1"/>
  <c r="G185" i="1" s="1"/>
  <c r="F184" i="1"/>
  <c r="G184" i="1" s="1"/>
  <c r="F183" i="1"/>
  <c r="G183" i="1" s="1"/>
  <c r="F182" i="1"/>
  <c r="G182" i="1" s="1"/>
  <c r="F181" i="1"/>
  <c r="G181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57" i="1"/>
  <c r="G157" i="1" s="1"/>
  <c r="F156" i="1"/>
  <c r="G156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29" i="1"/>
  <c r="G129" i="1" s="1"/>
  <c r="F128" i="1"/>
  <c r="G128" i="1" s="1"/>
  <c r="F127" i="1"/>
  <c r="G127" i="1" s="1"/>
  <c r="F126" i="1"/>
  <c r="G126" i="1" s="1"/>
  <c r="F115" i="1"/>
  <c r="G115" i="1" s="1"/>
  <c r="F114" i="1"/>
  <c r="G114" i="1" s="1"/>
  <c r="F113" i="1"/>
  <c r="G113" i="1" s="1"/>
  <c r="F112" i="1"/>
  <c r="G112" i="1" s="1"/>
  <c r="F111" i="1"/>
  <c r="G111" i="1" s="1"/>
  <c r="F101" i="1"/>
  <c r="G101" i="1" s="1"/>
  <c r="F100" i="1"/>
  <c r="G100" i="1" s="1"/>
  <c r="F99" i="1"/>
  <c r="G99" i="1" s="1"/>
  <c r="F98" i="1"/>
  <c r="G98" i="1" s="1"/>
  <c r="F97" i="1"/>
  <c r="G97" i="1" s="1"/>
  <c r="F87" i="1"/>
  <c r="G87" i="1" s="1"/>
  <c r="F86" i="1"/>
  <c r="G86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59" i="1"/>
  <c r="G59" i="1" s="1"/>
  <c r="F58" i="1"/>
  <c r="G58" i="1" s="1"/>
  <c r="F57" i="1"/>
  <c r="G57" i="1" s="1"/>
  <c r="F56" i="1"/>
  <c r="G56" i="1" s="1"/>
  <c r="F55" i="1"/>
  <c r="G55" i="1" s="1"/>
  <c r="F45" i="1"/>
  <c r="G45" i="1" s="1"/>
  <c r="F44" i="1"/>
  <c r="G44" i="1" s="1"/>
  <c r="F43" i="1"/>
  <c r="G43" i="1" s="1"/>
  <c r="F42" i="1"/>
  <c r="G42" i="1" s="1"/>
  <c r="F41" i="1"/>
  <c r="G41" i="1" s="1"/>
  <c r="F31" i="1"/>
  <c r="G31" i="1" s="1"/>
  <c r="F30" i="1"/>
  <c r="G30" i="1" s="1"/>
  <c r="F29" i="1"/>
  <c r="G29" i="1" s="1"/>
  <c r="F28" i="1"/>
  <c r="G28" i="1" s="1"/>
  <c r="F27" i="1"/>
  <c r="G27" i="1" s="1"/>
  <c r="F12" i="1"/>
  <c r="G12" i="1" s="1"/>
  <c r="F11" i="1"/>
  <c r="G11" i="1" s="1"/>
  <c r="F10" i="1"/>
  <c r="G10" i="1" s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</calcChain>
</file>

<file path=xl/sharedStrings.xml><?xml version="1.0" encoding="utf-8"?>
<sst xmlns="http://schemas.openxmlformats.org/spreadsheetml/2006/main" count="305" uniqueCount="17">
  <si>
    <t>delta</t>
  </si>
  <si>
    <t>p val</t>
  </si>
  <si>
    <t>td</t>
  </si>
  <si>
    <t>effect size</t>
  </si>
  <si>
    <t>comparison</t>
  </si>
  <si>
    <t>parastab evo mut vs evo para</t>
  </si>
  <si>
    <t>tm OR vt</t>
  </si>
  <si>
    <t>vt evolved vs evolved</t>
  </si>
  <si>
    <t>parastab fixed mut vs parastab fixed para</t>
  </si>
  <si>
    <t>vt fixed vs vt fixed</t>
  </si>
  <si>
    <t>vt evolved parasite vs vt fixed parasite</t>
  </si>
  <si>
    <t>vt evolved mutualist vs vt fixed mutualist</t>
  </si>
  <si>
    <t>significance (p &lt; 0.025)?</t>
  </si>
  <si>
    <t>parastab evolved mut vs parastab fixed mut</t>
  </si>
  <si>
    <t>parastab evolved para vs parastab fixed para</t>
  </si>
  <si>
    <t>group size</t>
  </si>
  <si>
    <t>p val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</si>
</sst>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8980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0" xfId="0" applyFill="1"/>
    <xf numFmtId="0" fontId="0" fillId="8" borderId="1" xfId="0" applyFill="1" applyBorder="1"/>
    <xf numFmtId="0" fontId="0" fillId="9" borderId="0" xfId="0" applyFill="1"/>
    <xf numFmtId="0" fontId="0" fillId="9" borderId="1" xfId="0" applyFill="1" applyBorder="1"/>
    <xf numFmtId="0" fontId="0" fillId="10" borderId="0" xfId="0" applyFill="1"/>
    <xf numFmtId="0" fontId="0" fillId="10" borderId="1" xfId="0" applyFill="1" applyBorder="1"/>
    <xf numFmtId="0" fontId="0" fillId="11" borderId="0" xfId="0" applyFill="1"/>
    <xf numFmtId="0" fontId="0" fillId="11" borderId="1" xfId="0" applyFill="1" applyBorder="1"/>
    <xf numFmtId="0" fontId="0" fillId="12" borderId="1" xfId="0" applyFill="1" applyBorder="1"/>
    <xf numFmtId="0" fontId="0" fillId="12" borderId="0" xfId="0" applyFill="1"/>
    <xf numFmtId="0" fontId="0" fillId="0" borderId="2" xfId="0" applyBorder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89996032593768116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89996032593768116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99FF"/>
      <color rgb="FF9999FF"/>
      <color rgb="FFFFCC66"/>
      <color rgb="FF98980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8FD0-D73C-46F7-AD7F-FB06E5FE0149}">
  <dimension ref="A1:L297"/>
  <sheetViews>
    <sheetView tabSelected="1" workbookViewId="0">
      <selection activeCell="O5" sqref="O5"/>
    </sheetView>
  </sheetViews>
  <sheetFormatPr defaultRowHeight="14.25"/>
  <cols>
    <col min="1" max="1" width="13.375" customWidth="1"/>
    <col min="6" max="6" width="12" bestFit="1" customWidth="1"/>
    <col min="8" max="8" width="12" bestFit="1" customWidth="1"/>
    <col min="19" max="19" width="12" bestFit="1" customWidth="1"/>
  </cols>
  <sheetData>
    <row r="1" spans="1:9">
      <c r="A1" t="s">
        <v>2</v>
      </c>
      <c r="B1" t="s">
        <v>6</v>
      </c>
      <c r="C1" t="s">
        <v>1</v>
      </c>
      <c r="D1" t="s">
        <v>0</v>
      </c>
      <c r="E1" t="s">
        <v>15</v>
      </c>
      <c r="F1" t="s">
        <v>16</v>
      </c>
      <c r="G1" t="s">
        <v>12</v>
      </c>
      <c r="H1" t="s">
        <v>3</v>
      </c>
      <c r="I1" t="s">
        <v>4</v>
      </c>
    </row>
    <row r="2" spans="1:9">
      <c r="A2">
        <v>0.125</v>
      </c>
      <c r="B2">
        <v>1E-4</v>
      </c>
      <c r="C2">
        <v>1.8047824754112601E-223</v>
      </c>
      <c r="D2">
        <v>-0.100462568813994</v>
      </c>
      <c r="E2">
        <f>296</f>
        <v>296</v>
      </c>
      <c r="F2">
        <f>0.05/E2</f>
        <v>1.6891891891891893E-4</v>
      </c>
      <c r="G2" t="str">
        <f>IF(C2&lt;F2,"yes","no")</f>
        <v>yes</v>
      </c>
      <c r="H2" t="str">
        <f t="shared" ref="H2:H70" si="0">IF(ABS(D2)&lt;0.11,"minimal effect",IF(ABS(D2)&lt;0.28,"small",IF(ABS(D2)&lt;0.43,"medium","large")))</f>
        <v>minimal effect</v>
      </c>
      <c r="I2" s="3" t="s">
        <v>5</v>
      </c>
    </row>
    <row r="3" spans="1:9">
      <c r="A3">
        <v>0.1875</v>
      </c>
      <c r="B3">
        <v>1E-4</v>
      </c>
      <c r="C3">
        <v>0</v>
      </c>
      <c r="D3">
        <v>-0.36650393986427598</v>
      </c>
      <c r="E3">
        <f>296</f>
        <v>296</v>
      </c>
      <c r="F3">
        <f t="shared" ref="F3:F71" si="1">0.05/E3</f>
        <v>1.6891891891891893E-4</v>
      </c>
      <c r="G3" t="str">
        <f t="shared" ref="G3:G71" si="2">IF(C3&lt;F3,"yes","no")</f>
        <v>yes</v>
      </c>
      <c r="H3" t="str">
        <f t="shared" si="0"/>
        <v>medium</v>
      </c>
      <c r="I3" s="3" t="s">
        <v>5</v>
      </c>
    </row>
    <row r="4" spans="1:9">
      <c r="A4">
        <v>0.25</v>
      </c>
      <c r="B4">
        <v>1E-4</v>
      </c>
      <c r="C4">
        <v>0</v>
      </c>
      <c r="D4">
        <v>-0.42926079793379002</v>
      </c>
      <c r="E4">
        <f>296</f>
        <v>296</v>
      </c>
      <c r="F4">
        <f t="shared" si="1"/>
        <v>1.6891891891891893E-4</v>
      </c>
      <c r="G4" t="str">
        <f t="shared" si="2"/>
        <v>yes</v>
      </c>
      <c r="H4" t="str">
        <f t="shared" si="0"/>
        <v>medium</v>
      </c>
      <c r="I4" s="3" t="s">
        <v>5</v>
      </c>
    </row>
    <row r="5" spans="1:9">
      <c r="A5">
        <v>0.25</v>
      </c>
      <c r="B5">
        <v>5.0000000000000001E-4</v>
      </c>
      <c r="C5">
        <v>5.4602067823999802E-178</v>
      </c>
      <c r="D5">
        <v>-0.745095814158105</v>
      </c>
      <c r="E5">
        <f>296</f>
        <v>296</v>
      </c>
      <c r="F5">
        <f t="shared" si="1"/>
        <v>1.6891891891891893E-4</v>
      </c>
      <c r="G5" t="str">
        <f t="shared" si="2"/>
        <v>yes</v>
      </c>
      <c r="H5" t="str">
        <f t="shared" si="0"/>
        <v>large</v>
      </c>
      <c r="I5" s="3" t="s">
        <v>5</v>
      </c>
    </row>
    <row r="6" spans="1:9">
      <c r="A6">
        <v>0.3125</v>
      </c>
      <c r="B6">
        <v>1E-4</v>
      </c>
      <c r="C6">
        <v>0</v>
      </c>
      <c r="D6">
        <v>-0.47308113144092601</v>
      </c>
      <c r="E6">
        <f>296</f>
        <v>296</v>
      </c>
      <c r="F6">
        <f t="shared" si="1"/>
        <v>1.6891891891891893E-4</v>
      </c>
      <c r="G6" t="str">
        <f t="shared" si="2"/>
        <v>yes</v>
      </c>
      <c r="H6" t="str">
        <f t="shared" si="0"/>
        <v>large</v>
      </c>
      <c r="I6" s="3" t="s">
        <v>5</v>
      </c>
    </row>
    <row r="7" spans="1:9">
      <c r="A7">
        <v>0.375</v>
      </c>
      <c r="B7">
        <v>1E-4</v>
      </c>
      <c r="C7">
        <v>0</v>
      </c>
      <c r="D7">
        <v>-0.54419605824399897</v>
      </c>
      <c r="E7">
        <f>296</f>
        <v>296</v>
      </c>
      <c r="F7">
        <f t="shared" si="1"/>
        <v>1.6891891891891893E-4</v>
      </c>
      <c r="G7" t="str">
        <f t="shared" si="2"/>
        <v>yes</v>
      </c>
      <c r="H7" t="str">
        <f t="shared" si="0"/>
        <v>large</v>
      </c>
      <c r="I7" s="3" t="s">
        <v>5</v>
      </c>
    </row>
    <row r="8" spans="1:9">
      <c r="A8">
        <v>0.375</v>
      </c>
      <c r="B8">
        <v>5.0000000000000001E-3</v>
      </c>
      <c r="C8">
        <v>0</v>
      </c>
      <c r="D8">
        <v>-0.94334115765576698</v>
      </c>
      <c r="E8">
        <f>296</f>
        <v>296</v>
      </c>
      <c r="F8">
        <f t="shared" si="1"/>
        <v>1.6891891891891893E-4</v>
      </c>
      <c r="G8" t="str">
        <f t="shared" si="2"/>
        <v>yes</v>
      </c>
      <c r="H8" t="str">
        <f t="shared" si="0"/>
        <v>large</v>
      </c>
      <c r="I8" s="3" t="s">
        <v>5</v>
      </c>
    </row>
    <row r="9" spans="1:9">
      <c r="A9">
        <v>0.4375</v>
      </c>
      <c r="B9">
        <v>1E-4</v>
      </c>
      <c r="C9">
        <v>0</v>
      </c>
      <c r="D9">
        <v>-0.72383968877530303</v>
      </c>
      <c r="E9">
        <f>296</f>
        <v>296</v>
      </c>
      <c r="F9">
        <f t="shared" si="1"/>
        <v>1.6891891891891893E-4</v>
      </c>
      <c r="G9" t="str">
        <f t="shared" si="2"/>
        <v>yes</v>
      </c>
      <c r="H9" t="str">
        <f t="shared" si="0"/>
        <v>large</v>
      </c>
      <c r="I9" s="3" t="s">
        <v>5</v>
      </c>
    </row>
    <row r="10" spans="1:9">
      <c r="A10">
        <v>0.4375</v>
      </c>
      <c r="B10">
        <v>5.0000000000000001E-3</v>
      </c>
      <c r="C10">
        <v>0</v>
      </c>
      <c r="D10">
        <v>-0.86091929411722401</v>
      </c>
      <c r="E10">
        <f>296</f>
        <v>296</v>
      </c>
      <c r="F10">
        <f t="shared" si="1"/>
        <v>1.6891891891891893E-4</v>
      </c>
      <c r="G10" t="str">
        <f t="shared" si="2"/>
        <v>yes</v>
      </c>
      <c r="H10" t="str">
        <f t="shared" si="0"/>
        <v>large</v>
      </c>
      <c r="I10" s="3" t="s">
        <v>5</v>
      </c>
    </row>
    <row r="11" spans="1:9">
      <c r="A11">
        <v>0.4375</v>
      </c>
      <c r="B11">
        <v>0.01</v>
      </c>
      <c r="C11">
        <v>0</v>
      </c>
      <c r="D11">
        <v>-0.80954977842670695</v>
      </c>
      <c r="E11">
        <f>296</f>
        <v>296</v>
      </c>
      <c r="F11">
        <f t="shared" si="1"/>
        <v>1.6891891891891893E-4</v>
      </c>
      <c r="G11" t="str">
        <f t="shared" si="2"/>
        <v>yes</v>
      </c>
      <c r="H11" t="str">
        <f t="shared" si="0"/>
        <v>large</v>
      </c>
      <c r="I11" s="3" t="s">
        <v>5</v>
      </c>
    </row>
    <row r="12" spans="1:9">
      <c r="A12" s="5">
        <v>0.5</v>
      </c>
      <c r="B12" s="5">
        <v>1E-4</v>
      </c>
      <c r="C12">
        <v>0</v>
      </c>
      <c r="D12">
        <v>-0.59794951472711899</v>
      </c>
      <c r="E12">
        <f>296</f>
        <v>296</v>
      </c>
      <c r="F12">
        <f t="shared" si="1"/>
        <v>1.6891891891891893E-4</v>
      </c>
      <c r="G12" t="str">
        <f t="shared" si="2"/>
        <v>yes</v>
      </c>
      <c r="H12" t="str">
        <f t="shared" si="0"/>
        <v>large</v>
      </c>
      <c r="I12" s="3" t="s">
        <v>5</v>
      </c>
    </row>
    <row r="13" spans="1:9">
      <c r="A13">
        <v>0.5</v>
      </c>
      <c r="B13">
        <v>5.0000000000000001E-4</v>
      </c>
      <c r="C13">
        <v>0</v>
      </c>
      <c r="D13">
        <v>-0.78266150453830996</v>
      </c>
      <c r="E13">
        <f>296</f>
        <v>296</v>
      </c>
      <c r="F13">
        <f t="shared" si="1"/>
        <v>1.6891891891891893E-4</v>
      </c>
      <c r="G13" t="str">
        <f t="shared" si="2"/>
        <v>yes</v>
      </c>
      <c r="H13" t="str">
        <f t="shared" si="0"/>
        <v>large</v>
      </c>
      <c r="I13" s="3" t="s">
        <v>5</v>
      </c>
    </row>
    <row r="14" spans="1:9">
      <c r="A14" s="5">
        <v>0.5625</v>
      </c>
      <c r="B14" s="5">
        <v>1E-4</v>
      </c>
      <c r="C14">
        <v>0</v>
      </c>
      <c r="D14">
        <v>-0.63327726910797999</v>
      </c>
      <c r="E14">
        <f>296</f>
        <v>296</v>
      </c>
      <c r="F14">
        <f t="shared" si="1"/>
        <v>1.6891891891891893E-4</v>
      </c>
      <c r="G14" t="str">
        <f t="shared" si="2"/>
        <v>yes</v>
      </c>
      <c r="H14" t="str">
        <f t="shared" si="0"/>
        <v>large</v>
      </c>
      <c r="I14" s="3" t="s">
        <v>5</v>
      </c>
    </row>
    <row r="15" spans="1:9">
      <c r="A15">
        <v>0.5625</v>
      </c>
      <c r="B15">
        <v>5.0000000000000001E-4</v>
      </c>
      <c r="C15">
        <v>0</v>
      </c>
      <c r="D15">
        <v>-0.73046896230144298</v>
      </c>
      <c r="E15">
        <f>296</f>
        <v>296</v>
      </c>
      <c r="F15">
        <f t="shared" si="1"/>
        <v>1.6891891891891893E-4</v>
      </c>
      <c r="G15" t="str">
        <f t="shared" si="2"/>
        <v>yes</v>
      </c>
      <c r="H15" t="str">
        <f t="shared" si="0"/>
        <v>large</v>
      </c>
      <c r="I15" s="3" t="s">
        <v>5</v>
      </c>
    </row>
    <row r="16" spans="1:9">
      <c r="A16">
        <v>0.5625</v>
      </c>
      <c r="B16">
        <v>0.01</v>
      </c>
      <c r="C16">
        <v>0</v>
      </c>
      <c r="D16">
        <v>-0.66871659552252405</v>
      </c>
      <c r="E16">
        <f>296</f>
        <v>296</v>
      </c>
      <c r="F16">
        <f t="shared" si="1"/>
        <v>1.6891891891891893E-4</v>
      </c>
      <c r="G16" t="str">
        <f t="shared" si="2"/>
        <v>yes</v>
      </c>
      <c r="H16" t="str">
        <f t="shared" si="0"/>
        <v>large</v>
      </c>
      <c r="I16" s="3" t="s">
        <v>5</v>
      </c>
    </row>
    <row r="17" spans="1:12">
      <c r="A17">
        <v>0.5625</v>
      </c>
      <c r="B17">
        <v>0.05</v>
      </c>
      <c r="C17">
        <v>0</v>
      </c>
      <c r="D17">
        <v>-0.315443158923429</v>
      </c>
      <c r="E17">
        <f>296</f>
        <v>296</v>
      </c>
      <c r="F17">
        <f t="shared" si="1"/>
        <v>1.6891891891891893E-4</v>
      </c>
      <c r="G17" t="str">
        <f t="shared" si="2"/>
        <v>yes</v>
      </c>
      <c r="H17" t="str">
        <f t="shared" si="0"/>
        <v>medium</v>
      </c>
      <c r="I17" s="3" t="s">
        <v>5</v>
      </c>
      <c r="L17" s="23"/>
    </row>
    <row r="18" spans="1:12">
      <c r="A18">
        <v>0.5625</v>
      </c>
      <c r="B18">
        <v>0.1</v>
      </c>
      <c r="C18">
        <v>0</v>
      </c>
      <c r="D18">
        <v>-0.153914874609036</v>
      </c>
      <c r="E18">
        <f>296</f>
        <v>296</v>
      </c>
      <c r="F18">
        <f t="shared" si="1"/>
        <v>1.6891891891891893E-4</v>
      </c>
      <c r="G18" t="str">
        <f t="shared" si="2"/>
        <v>yes</v>
      </c>
      <c r="H18" t="str">
        <f t="shared" si="0"/>
        <v>small</v>
      </c>
      <c r="I18" s="3" t="s">
        <v>5</v>
      </c>
    </row>
    <row r="19" spans="1:12">
      <c r="A19" s="5">
        <v>0.625</v>
      </c>
      <c r="B19" s="5">
        <v>1E-4</v>
      </c>
      <c r="C19">
        <v>0</v>
      </c>
      <c r="D19">
        <v>-0.59924776407495395</v>
      </c>
      <c r="E19">
        <f>296</f>
        <v>296</v>
      </c>
      <c r="F19">
        <f t="shared" si="1"/>
        <v>1.6891891891891893E-4</v>
      </c>
      <c r="G19" t="str">
        <f t="shared" si="2"/>
        <v>yes</v>
      </c>
      <c r="H19" t="str">
        <f t="shared" si="0"/>
        <v>large</v>
      </c>
      <c r="I19" s="3" t="s">
        <v>5</v>
      </c>
    </row>
    <row r="20" spans="1:12">
      <c r="A20">
        <v>0.625</v>
      </c>
      <c r="B20">
        <v>5.0000000000000001E-4</v>
      </c>
      <c r="C20">
        <v>0</v>
      </c>
      <c r="D20">
        <v>-0.64536430509748499</v>
      </c>
      <c r="E20">
        <f>296</f>
        <v>296</v>
      </c>
      <c r="F20">
        <f t="shared" si="1"/>
        <v>1.6891891891891893E-4</v>
      </c>
      <c r="G20" t="str">
        <f t="shared" si="2"/>
        <v>yes</v>
      </c>
      <c r="H20" t="str">
        <f t="shared" si="0"/>
        <v>large</v>
      </c>
      <c r="I20" s="3" t="s">
        <v>5</v>
      </c>
    </row>
    <row r="21" spans="1:12">
      <c r="A21">
        <v>0.625</v>
      </c>
      <c r="B21">
        <v>1E-3</v>
      </c>
      <c r="C21">
        <v>0</v>
      </c>
      <c r="D21">
        <v>-0.68546546490075699</v>
      </c>
      <c r="E21">
        <f>296</f>
        <v>296</v>
      </c>
      <c r="F21">
        <f t="shared" si="1"/>
        <v>1.6891891891891893E-4</v>
      </c>
      <c r="G21" t="str">
        <f t="shared" ref="G21:G25" si="3">IF(C21&lt;F21,"yes","no")</f>
        <v>yes</v>
      </c>
      <c r="H21" t="str">
        <f t="shared" ref="H21:H25" si="4">IF(ABS(D21)&lt;0.11,"minimal effect",IF(ABS(D21)&lt;0.28,"small",IF(ABS(D21)&lt;0.43,"medium","large")))</f>
        <v>large</v>
      </c>
      <c r="I21" s="3" t="s">
        <v>5</v>
      </c>
    </row>
    <row r="22" spans="1:12">
      <c r="A22">
        <v>0.625</v>
      </c>
      <c r="B22">
        <v>5.0000000000000001E-3</v>
      </c>
      <c r="C22">
        <v>0</v>
      </c>
      <c r="D22">
        <v>-0.66628108970023803</v>
      </c>
      <c r="E22">
        <f>296</f>
        <v>296</v>
      </c>
      <c r="F22">
        <f t="shared" si="1"/>
        <v>1.6891891891891893E-4</v>
      </c>
      <c r="G22" t="str">
        <f t="shared" si="3"/>
        <v>yes</v>
      </c>
      <c r="H22" t="str">
        <f t="shared" si="4"/>
        <v>large</v>
      </c>
      <c r="I22" s="3" t="s">
        <v>5</v>
      </c>
    </row>
    <row r="23" spans="1:12">
      <c r="A23">
        <v>0.625</v>
      </c>
      <c r="B23">
        <v>0.01</v>
      </c>
      <c r="C23">
        <v>0</v>
      </c>
      <c r="D23">
        <v>-0.55835679205295197</v>
      </c>
      <c r="E23">
        <f>296</f>
        <v>296</v>
      </c>
      <c r="F23">
        <f t="shared" si="1"/>
        <v>1.6891891891891893E-4</v>
      </c>
      <c r="G23" t="str">
        <f t="shared" si="3"/>
        <v>yes</v>
      </c>
      <c r="H23" t="str">
        <f t="shared" si="4"/>
        <v>large</v>
      </c>
      <c r="I23" s="3" t="s">
        <v>5</v>
      </c>
    </row>
    <row r="24" spans="1:12">
      <c r="A24">
        <v>0.625</v>
      </c>
      <c r="B24">
        <v>0.05</v>
      </c>
      <c r="C24">
        <v>0</v>
      </c>
      <c r="D24">
        <v>-0.250105116114267</v>
      </c>
      <c r="E24">
        <f>296</f>
        <v>296</v>
      </c>
      <c r="F24">
        <f t="shared" si="1"/>
        <v>1.6891891891891893E-4</v>
      </c>
      <c r="G24" t="str">
        <f t="shared" si="3"/>
        <v>yes</v>
      </c>
      <c r="H24" t="str">
        <f t="shared" si="4"/>
        <v>small</v>
      </c>
      <c r="I24" s="3" t="s">
        <v>5</v>
      </c>
    </row>
    <row r="25" spans="1:12">
      <c r="A25">
        <v>0.625</v>
      </c>
      <c r="B25">
        <v>0.1</v>
      </c>
      <c r="C25">
        <v>0</v>
      </c>
      <c r="D25">
        <v>-0.13574817348725299</v>
      </c>
      <c r="E25" s="22">
        <f>296</f>
        <v>296</v>
      </c>
      <c r="F25">
        <f t="shared" si="1"/>
        <v>1.6891891891891893E-4</v>
      </c>
      <c r="G25" t="str">
        <f t="shared" si="3"/>
        <v>yes</v>
      </c>
      <c r="H25" t="str">
        <f t="shared" si="4"/>
        <v>small</v>
      </c>
      <c r="I25" s="3" t="s">
        <v>5</v>
      </c>
    </row>
    <row r="26" spans="1:12">
      <c r="A26" s="7">
        <v>0.4375</v>
      </c>
      <c r="B26" s="8">
        <v>0.2</v>
      </c>
      <c r="C26" s="7">
        <v>3.47883812537267E-271</v>
      </c>
      <c r="D26" s="7">
        <v>-0.22676541630518901</v>
      </c>
      <c r="E26">
        <f>296</f>
        <v>296</v>
      </c>
      <c r="F26" s="7">
        <f t="shared" si="1"/>
        <v>1.6891891891891893E-4</v>
      </c>
      <c r="G26" s="7" t="str">
        <f t="shared" si="2"/>
        <v>yes</v>
      </c>
      <c r="H26" s="7" t="str">
        <f t="shared" si="0"/>
        <v>small</v>
      </c>
      <c r="I26" s="9" t="s">
        <v>7</v>
      </c>
      <c r="J26" s="7"/>
    </row>
    <row r="27" spans="1:12">
      <c r="A27">
        <v>0.4375</v>
      </c>
      <c r="B27" s="2">
        <v>0.3</v>
      </c>
      <c r="C27">
        <v>0</v>
      </c>
      <c r="D27">
        <v>-0.74399640762797203</v>
      </c>
      <c r="E27">
        <f>296</f>
        <v>296</v>
      </c>
      <c r="F27">
        <f t="shared" si="1"/>
        <v>1.6891891891891893E-4</v>
      </c>
      <c r="G27" t="str">
        <f t="shared" si="2"/>
        <v>yes</v>
      </c>
      <c r="H27" t="str">
        <f t="shared" si="0"/>
        <v>large</v>
      </c>
      <c r="I27" s="2" t="s">
        <v>7</v>
      </c>
    </row>
    <row r="28" spans="1:12">
      <c r="A28">
        <v>0.4375</v>
      </c>
      <c r="B28">
        <v>0.4</v>
      </c>
      <c r="C28">
        <v>0</v>
      </c>
      <c r="D28">
        <v>-0.78577850168556995</v>
      </c>
      <c r="E28">
        <f>296</f>
        <v>296</v>
      </c>
      <c r="F28">
        <f t="shared" si="1"/>
        <v>1.6891891891891893E-4</v>
      </c>
      <c r="G28" t="str">
        <f t="shared" si="2"/>
        <v>yes</v>
      </c>
      <c r="H28" t="str">
        <f t="shared" si="0"/>
        <v>large</v>
      </c>
      <c r="I28" s="2" t="s">
        <v>7</v>
      </c>
    </row>
    <row r="29" spans="1:12">
      <c r="A29">
        <v>0.5</v>
      </c>
      <c r="B29" s="1">
        <v>0.2</v>
      </c>
      <c r="C29">
        <v>9.760141389970951E-122</v>
      </c>
      <c r="D29">
        <v>-0.16298050509741299</v>
      </c>
      <c r="E29">
        <f>296</f>
        <v>296</v>
      </c>
      <c r="F29">
        <f t="shared" si="1"/>
        <v>1.6891891891891893E-4</v>
      </c>
      <c r="G29" t="str">
        <f t="shared" si="2"/>
        <v>yes</v>
      </c>
      <c r="H29" t="str">
        <f t="shared" si="0"/>
        <v>small</v>
      </c>
      <c r="I29" s="2" t="s">
        <v>7</v>
      </c>
    </row>
    <row r="30" spans="1:12">
      <c r="A30">
        <v>0.5</v>
      </c>
      <c r="B30">
        <v>0.3</v>
      </c>
      <c r="C30">
        <v>0</v>
      </c>
      <c r="D30">
        <v>-0.68780107166214699</v>
      </c>
      <c r="E30">
        <f>296</f>
        <v>296</v>
      </c>
      <c r="F30">
        <f t="shared" si="1"/>
        <v>1.6891891891891893E-4</v>
      </c>
      <c r="G30" t="str">
        <f t="shared" si="2"/>
        <v>yes</v>
      </c>
      <c r="H30" t="str">
        <f t="shared" si="0"/>
        <v>large</v>
      </c>
      <c r="I30" s="2" t="s">
        <v>7</v>
      </c>
    </row>
    <row r="31" spans="1:12">
      <c r="A31">
        <v>0.5</v>
      </c>
      <c r="B31">
        <v>0.4</v>
      </c>
      <c r="C31">
        <v>0</v>
      </c>
      <c r="D31">
        <v>-0.72958075848830695</v>
      </c>
      <c r="E31">
        <f>296</f>
        <v>296</v>
      </c>
      <c r="F31">
        <f t="shared" si="1"/>
        <v>1.6891891891891893E-4</v>
      </c>
      <c r="G31" t="str">
        <f t="shared" si="2"/>
        <v>yes</v>
      </c>
      <c r="H31" t="str">
        <f t="shared" si="0"/>
        <v>large</v>
      </c>
      <c r="I31" s="2" t="s">
        <v>7</v>
      </c>
    </row>
    <row r="32" spans="1:12">
      <c r="A32">
        <v>0.5625</v>
      </c>
      <c r="B32" s="1">
        <v>0.2</v>
      </c>
      <c r="C32">
        <v>9.5036277243097208E-78</v>
      </c>
      <c r="D32">
        <v>-0.127213661706465</v>
      </c>
      <c r="E32">
        <f>296</f>
        <v>296</v>
      </c>
      <c r="F32">
        <f t="shared" si="1"/>
        <v>1.6891891891891893E-4</v>
      </c>
      <c r="G32" t="str">
        <f t="shared" si="2"/>
        <v>yes</v>
      </c>
      <c r="H32" t="str">
        <f t="shared" si="0"/>
        <v>small</v>
      </c>
      <c r="I32" s="2" t="s">
        <v>7</v>
      </c>
    </row>
    <row r="33" spans="1:10">
      <c r="A33">
        <v>0.5625</v>
      </c>
      <c r="B33" s="2">
        <v>0.3</v>
      </c>
      <c r="C33">
        <v>0</v>
      </c>
      <c r="D33">
        <v>-0.59862528622008504</v>
      </c>
      <c r="E33">
        <f>296</f>
        <v>296</v>
      </c>
      <c r="F33">
        <f t="shared" si="1"/>
        <v>1.6891891891891893E-4</v>
      </c>
      <c r="G33" t="str">
        <f t="shared" si="2"/>
        <v>yes</v>
      </c>
      <c r="H33" t="str">
        <f t="shared" si="0"/>
        <v>large</v>
      </c>
      <c r="I33" s="2" t="s">
        <v>7</v>
      </c>
    </row>
    <row r="34" spans="1:10">
      <c r="A34">
        <v>0.5625</v>
      </c>
      <c r="B34">
        <v>0.4</v>
      </c>
      <c r="C34">
        <v>0</v>
      </c>
      <c r="D34">
        <v>-0.64574189105871305</v>
      </c>
      <c r="E34">
        <f>296</f>
        <v>296</v>
      </c>
      <c r="F34">
        <f t="shared" si="1"/>
        <v>1.6891891891891893E-4</v>
      </c>
      <c r="G34" t="str">
        <f t="shared" si="2"/>
        <v>yes</v>
      </c>
      <c r="H34" t="str">
        <f t="shared" si="0"/>
        <v>large</v>
      </c>
      <c r="I34" s="2" t="s">
        <v>7</v>
      </c>
    </row>
    <row r="35" spans="1:10">
      <c r="A35">
        <v>0.5625</v>
      </c>
      <c r="B35">
        <v>0.5</v>
      </c>
      <c r="C35">
        <v>0</v>
      </c>
      <c r="D35">
        <v>-0.65750228674181599</v>
      </c>
      <c r="E35">
        <f>296</f>
        <v>296</v>
      </c>
      <c r="F35">
        <f t="shared" si="1"/>
        <v>1.6891891891891893E-4</v>
      </c>
      <c r="G35" t="str">
        <f t="shared" si="2"/>
        <v>yes</v>
      </c>
      <c r="H35" t="str">
        <f t="shared" si="0"/>
        <v>large</v>
      </c>
      <c r="I35" s="2" t="s">
        <v>7</v>
      </c>
    </row>
    <row r="36" spans="1:10">
      <c r="A36">
        <v>0.625</v>
      </c>
      <c r="B36" s="1">
        <v>0.2</v>
      </c>
      <c r="C36">
        <v>1.0823710080231501E-57</v>
      </c>
      <c r="D36">
        <v>-0.11431665191780201</v>
      </c>
      <c r="E36">
        <f>296</f>
        <v>296</v>
      </c>
      <c r="F36">
        <f t="shared" si="1"/>
        <v>1.6891891891891893E-4</v>
      </c>
      <c r="G36" t="str">
        <f t="shared" si="2"/>
        <v>yes</v>
      </c>
      <c r="H36" t="str">
        <f t="shared" si="0"/>
        <v>small</v>
      </c>
      <c r="I36" s="2" t="s">
        <v>7</v>
      </c>
    </row>
    <row r="37" spans="1:10">
      <c r="A37">
        <v>0.625</v>
      </c>
      <c r="B37" s="2">
        <v>0.3</v>
      </c>
      <c r="C37">
        <v>9.5152181349808601E-276</v>
      </c>
      <c r="D37">
        <v>-0.18052232261520301</v>
      </c>
      <c r="E37">
        <f>296</f>
        <v>296</v>
      </c>
      <c r="F37">
        <f t="shared" si="1"/>
        <v>1.6891891891891893E-4</v>
      </c>
      <c r="G37" t="str">
        <f t="shared" si="2"/>
        <v>yes</v>
      </c>
      <c r="H37" t="str">
        <f t="shared" si="0"/>
        <v>small</v>
      </c>
      <c r="I37" s="2" t="s">
        <v>7</v>
      </c>
    </row>
    <row r="38" spans="1:10">
      <c r="A38">
        <v>0.625</v>
      </c>
      <c r="B38">
        <v>0.4</v>
      </c>
      <c r="C38">
        <v>0</v>
      </c>
      <c r="D38">
        <v>-0.54581947250477703</v>
      </c>
      <c r="E38">
        <f>296</f>
        <v>296</v>
      </c>
      <c r="F38">
        <f t="shared" si="1"/>
        <v>1.6891891891891893E-4</v>
      </c>
      <c r="G38" t="str">
        <f t="shared" si="2"/>
        <v>yes</v>
      </c>
      <c r="H38" t="str">
        <f t="shared" si="0"/>
        <v>large</v>
      </c>
      <c r="I38" s="2" t="s">
        <v>7</v>
      </c>
    </row>
    <row r="39" spans="1:10">
      <c r="A39">
        <v>0.625</v>
      </c>
      <c r="B39">
        <v>0.5</v>
      </c>
      <c r="C39">
        <v>0</v>
      </c>
      <c r="D39">
        <v>-0.56148733678067198</v>
      </c>
      <c r="E39">
        <f>296</f>
        <v>296</v>
      </c>
      <c r="F39">
        <f t="shared" si="1"/>
        <v>1.6891891891891893E-4</v>
      </c>
      <c r="G39" t="str">
        <f t="shared" si="2"/>
        <v>yes</v>
      </c>
      <c r="H39" t="str">
        <f t="shared" si="0"/>
        <v>large</v>
      </c>
      <c r="I39" s="2" t="s">
        <v>7</v>
      </c>
    </row>
    <row r="40" spans="1:10">
      <c r="A40">
        <v>0.3125</v>
      </c>
      <c r="B40" s="2">
        <v>0.3</v>
      </c>
      <c r="C40">
        <v>0</v>
      </c>
      <c r="D40">
        <v>-0.75982093557444896</v>
      </c>
      <c r="E40">
        <f>296</f>
        <v>296</v>
      </c>
      <c r="F40">
        <f t="shared" si="1"/>
        <v>1.6891891891891893E-4</v>
      </c>
      <c r="G40" t="str">
        <f t="shared" si="2"/>
        <v>yes</v>
      </c>
      <c r="H40" t="str">
        <f t="shared" si="0"/>
        <v>large</v>
      </c>
      <c r="I40" s="2" t="s">
        <v>7</v>
      </c>
    </row>
    <row r="41" spans="1:10">
      <c r="A41">
        <v>0.375</v>
      </c>
      <c r="B41" s="2">
        <v>0.3</v>
      </c>
      <c r="C41">
        <v>0</v>
      </c>
      <c r="D41">
        <v>-0.77275220369639397</v>
      </c>
      <c r="E41">
        <f>296</f>
        <v>296</v>
      </c>
      <c r="F41">
        <f t="shared" si="1"/>
        <v>1.6891891891891893E-4</v>
      </c>
      <c r="G41" t="str">
        <f t="shared" si="2"/>
        <v>yes</v>
      </c>
      <c r="H41" t="str">
        <f t="shared" si="0"/>
        <v>large</v>
      </c>
      <c r="I41" s="2" t="s">
        <v>7</v>
      </c>
    </row>
    <row r="42" spans="1:10">
      <c r="A42">
        <v>0.375</v>
      </c>
      <c r="B42">
        <v>0.4</v>
      </c>
      <c r="C42">
        <v>0</v>
      </c>
      <c r="D42">
        <v>-0.79959274862382801</v>
      </c>
      <c r="E42" s="22">
        <f>296</f>
        <v>296</v>
      </c>
      <c r="F42">
        <f t="shared" si="1"/>
        <v>1.6891891891891893E-4</v>
      </c>
      <c r="G42" t="str">
        <f t="shared" si="2"/>
        <v>yes</v>
      </c>
      <c r="H42" t="str">
        <f t="shared" si="0"/>
        <v>large</v>
      </c>
      <c r="I42" s="2" t="s">
        <v>7</v>
      </c>
    </row>
    <row r="43" spans="1:10">
      <c r="A43" s="7">
        <v>0.3125</v>
      </c>
      <c r="B43" s="7">
        <v>1E-4</v>
      </c>
      <c r="C43" s="7">
        <v>0</v>
      </c>
      <c r="D43" s="7">
        <v>-0.98375887416933805</v>
      </c>
      <c r="E43">
        <f>296</f>
        <v>296</v>
      </c>
      <c r="F43" s="7">
        <f t="shared" si="1"/>
        <v>1.6891891891891893E-4</v>
      </c>
      <c r="G43" s="7" t="str">
        <f t="shared" si="2"/>
        <v>yes</v>
      </c>
      <c r="H43" s="7" t="str">
        <f t="shared" si="0"/>
        <v>large</v>
      </c>
      <c r="I43" s="10" t="s">
        <v>8</v>
      </c>
      <c r="J43" s="7"/>
    </row>
    <row r="44" spans="1:10">
      <c r="A44">
        <v>0.375</v>
      </c>
      <c r="B44">
        <v>1E-4</v>
      </c>
      <c r="C44">
        <v>0</v>
      </c>
      <c r="D44">
        <v>-0.73136348603089096</v>
      </c>
      <c r="E44">
        <f>296</f>
        <v>296</v>
      </c>
      <c r="F44">
        <f t="shared" si="1"/>
        <v>1.6891891891891893E-4</v>
      </c>
      <c r="G44" t="str">
        <f t="shared" si="2"/>
        <v>yes</v>
      </c>
      <c r="H44" t="str">
        <f t="shared" si="0"/>
        <v>large</v>
      </c>
      <c r="I44" s="4" t="s">
        <v>8</v>
      </c>
    </row>
    <row r="45" spans="1:10">
      <c r="A45">
        <v>0.375</v>
      </c>
      <c r="B45">
        <v>5.0000000000000001E-4</v>
      </c>
      <c r="C45">
        <v>0</v>
      </c>
      <c r="D45">
        <v>-0.99716118711450696</v>
      </c>
      <c r="E45">
        <f>296</f>
        <v>296</v>
      </c>
      <c r="F45">
        <f t="shared" si="1"/>
        <v>1.6891891891891893E-4</v>
      </c>
      <c r="G45" t="str">
        <f t="shared" si="2"/>
        <v>yes</v>
      </c>
      <c r="H45" t="str">
        <f t="shared" si="0"/>
        <v>large</v>
      </c>
      <c r="I45" s="4" t="s">
        <v>8</v>
      </c>
    </row>
    <row r="46" spans="1:10">
      <c r="A46">
        <v>0.375</v>
      </c>
      <c r="B46">
        <v>1E-3</v>
      </c>
      <c r="C46">
        <v>0</v>
      </c>
      <c r="D46">
        <v>-0.99373486428950297</v>
      </c>
      <c r="E46">
        <f>296</f>
        <v>296</v>
      </c>
      <c r="F46">
        <f t="shared" si="1"/>
        <v>1.6891891891891893E-4</v>
      </c>
      <c r="G46" t="str">
        <f t="shared" si="2"/>
        <v>yes</v>
      </c>
      <c r="H46" t="str">
        <f t="shared" si="0"/>
        <v>large</v>
      </c>
      <c r="I46" s="4" t="s">
        <v>8</v>
      </c>
    </row>
    <row r="47" spans="1:10">
      <c r="A47">
        <v>0.375</v>
      </c>
      <c r="B47">
        <v>5.0000000000000001E-3</v>
      </c>
      <c r="C47">
        <v>0</v>
      </c>
      <c r="D47">
        <v>-0.94929451287104105</v>
      </c>
      <c r="E47">
        <f>296</f>
        <v>296</v>
      </c>
      <c r="F47">
        <f t="shared" si="1"/>
        <v>1.6891891891891893E-4</v>
      </c>
      <c r="G47" t="str">
        <f t="shared" si="2"/>
        <v>yes</v>
      </c>
      <c r="H47" t="str">
        <f t="shared" si="0"/>
        <v>large</v>
      </c>
      <c r="I47" s="4" t="s">
        <v>8</v>
      </c>
    </row>
    <row r="48" spans="1:10">
      <c r="A48">
        <v>0.375</v>
      </c>
      <c r="B48">
        <v>0.01</v>
      </c>
      <c r="C48">
        <v>0</v>
      </c>
      <c r="D48">
        <v>-0.89154098176650998</v>
      </c>
      <c r="E48">
        <f>296</f>
        <v>296</v>
      </c>
      <c r="F48">
        <f t="shared" si="1"/>
        <v>1.6891891891891893E-4</v>
      </c>
      <c r="G48" t="str">
        <f t="shared" si="2"/>
        <v>yes</v>
      </c>
      <c r="H48" t="str">
        <f t="shared" si="0"/>
        <v>large</v>
      </c>
      <c r="I48" s="4" t="s">
        <v>8</v>
      </c>
    </row>
    <row r="49" spans="1:9">
      <c r="A49">
        <v>0.375</v>
      </c>
      <c r="B49">
        <v>0.05</v>
      </c>
      <c r="C49">
        <v>0</v>
      </c>
      <c r="D49">
        <v>-0.572837368921981</v>
      </c>
      <c r="E49">
        <f>296</f>
        <v>296</v>
      </c>
      <c r="F49">
        <f t="shared" si="1"/>
        <v>1.6891891891891893E-4</v>
      </c>
      <c r="G49" t="str">
        <f t="shared" si="2"/>
        <v>yes</v>
      </c>
      <c r="H49" t="str">
        <f t="shared" si="0"/>
        <v>large</v>
      </c>
      <c r="I49" s="4" t="s">
        <v>8</v>
      </c>
    </row>
    <row r="50" spans="1:9">
      <c r="A50">
        <v>0.375</v>
      </c>
      <c r="B50">
        <v>0.1</v>
      </c>
      <c r="C50">
        <v>0</v>
      </c>
      <c r="D50">
        <v>-0.362780942368644</v>
      </c>
      <c r="E50">
        <f>296</f>
        <v>296</v>
      </c>
      <c r="F50">
        <f t="shared" si="1"/>
        <v>1.6891891891891893E-4</v>
      </c>
      <c r="G50" t="str">
        <f t="shared" si="2"/>
        <v>yes</v>
      </c>
      <c r="H50" t="str">
        <f t="shared" si="0"/>
        <v>medium</v>
      </c>
      <c r="I50" s="4" t="s">
        <v>8</v>
      </c>
    </row>
    <row r="51" spans="1:9">
      <c r="A51">
        <v>0.4375</v>
      </c>
      <c r="B51">
        <v>1E-4</v>
      </c>
      <c r="C51">
        <v>0</v>
      </c>
      <c r="D51">
        <v>-0.17172604693913401</v>
      </c>
      <c r="E51">
        <f>296</f>
        <v>296</v>
      </c>
      <c r="F51">
        <f t="shared" si="1"/>
        <v>1.6891891891891893E-4</v>
      </c>
      <c r="G51" t="str">
        <f t="shared" si="2"/>
        <v>yes</v>
      </c>
      <c r="H51" t="str">
        <f t="shared" si="0"/>
        <v>small</v>
      </c>
      <c r="I51" s="4" t="s">
        <v>8</v>
      </c>
    </row>
    <row r="52" spans="1:9">
      <c r="A52">
        <v>0.4375</v>
      </c>
      <c r="B52">
        <v>5.0000000000000001E-4</v>
      </c>
      <c r="C52">
        <v>0</v>
      </c>
      <c r="D52">
        <v>-0.99177372669277597</v>
      </c>
      <c r="E52">
        <f>296</f>
        <v>296</v>
      </c>
      <c r="F52">
        <f t="shared" si="1"/>
        <v>1.6891891891891893E-4</v>
      </c>
      <c r="G52" t="str">
        <f t="shared" si="2"/>
        <v>yes</v>
      </c>
      <c r="H52" t="str">
        <f t="shared" si="0"/>
        <v>large</v>
      </c>
      <c r="I52" s="4" t="s">
        <v>8</v>
      </c>
    </row>
    <row r="53" spans="1:9">
      <c r="A53">
        <v>0.4375</v>
      </c>
      <c r="B53">
        <v>1E-3</v>
      </c>
      <c r="C53">
        <v>0</v>
      </c>
      <c r="D53">
        <v>-0.98310738119928298</v>
      </c>
      <c r="E53">
        <f>296</f>
        <v>296</v>
      </c>
      <c r="F53">
        <f t="shared" si="1"/>
        <v>1.6891891891891893E-4</v>
      </c>
      <c r="G53" t="str">
        <f t="shared" si="2"/>
        <v>yes</v>
      </c>
      <c r="H53" t="str">
        <f t="shared" si="0"/>
        <v>large</v>
      </c>
      <c r="I53" s="4" t="s">
        <v>8</v>
      </c>
    </row>
    <row r="54" spans="1:9">
      <c r="A54">
        <v>0.4375</v>
      </c>
      <c r="B54">
        <v>5.0000000000000001E-3</v>
      </c>
      <c r="C54">
        <v>0</v>
      </c>
      <c r="D54">
        <v>-0.90776414989601095</v>
      </c>
      <c r="E54">
        <f>296</f>
        <v>296</v>
      </c>
      <c r="F54">
        <f t="shared" si="1"/>
        <v>1.6891891891891893E-4</v>
      </c>
      <c r="G54" t="str">
        <f t="shared" si="2"/>
        <v>yes</v>
      </c>
      <c r="H54" t="str">
        <f t="shared" si="0"/>
        <v>large</v>
      </c>
      <c r="I54" s="4" t="s">
        <v>8</v>
      </c>
    </row>
    <row r="55" spans="1:9">
      <c r="A55">
        <v>0.4375</v>
      </c>
      <c r="B55">
        <v>0.01</v>
      </c>
      <c r="C55">
        <v>0</v>
      </c>
      <c r="D55">
        <v>-0.82813149052794</v>
      </c>
      <c r="E55">
        <f>296</f>
        <v>296</v>
      </c>
      <c r="F55">
        <f t="shared" si="1"/>
        <v>1.6891891891891893E-4</v>
      </c>
      <c r="G55" t="str">
        <f t="shared" si="2"/>
        <v>yes</v>
      </c>
      <c r="H55" t="str">
        <f t="shared" si="0"/>
        <v>large</v>
      </c>
      <c r="I55" s="4" t="s">
        <v>8</v>
      </c>
    </row>
    <row r="56" spans="1:9">
      <c r="A56">
        <v>0.4375</v>
      </c>
      <c r="B56">
        <v>0.05</v>
      </c>
      <c r="C56">
        <v>0</v>
      </c>
      <c r="D56">
        <v>-0.47044916212934301</v>
      </c>
      <c r="E56">
        <f>296</f>
        <v>296</v>
      </c>
      <c r="F56">
        <f t="shared" si="1"/>
        <v>1.6891891891891893E-4</v>
      </c>
      <c r="G56" t="str">
        <f t="shared" si="2"/>
        <v>yes</v>
      </c>
      <c r="H56" t="str">
        <f t="shared" si="0"/>
        <v>large</v>
      </c>
      <c r="I56" s="4" t="s">
        <v>8</v>
      </c>
    </row>
    <row r="57" spans="1:9">
      <c r="A57">
        <v>0.4375</v>
      </c>
      <c r="B57">
        <v>0.1</v>
      </c>
      <c r="C57">
        <v>0</v>
      </c>
      <c r="D57">
        <v>-0.27899729933665302</v>
      </c>
      <c r="E57">
        <f>296</f>
        <v>296</v>
      </c>
      <c r="F57">
        <f t="shared" si="1"/>
        <v>1.6891891891891893E-4</v>
      </c>
      <c r="G57" t="str">
        <f t="shared" si="2"/>
        <v>yes</v>
      </c>
      <c r="H57" t="str">
        <f t="shared" si="0"/>
        <v>small</v>
      </c>
      <c r="I57" s="4" t="s">
        <v>8</v>
      </c>
    </row>
    <row r="58" spans="1:9">
      <c r="A58" s="5">
        <v>0.5</v>
      </c>
      <c r="B58" s="5">
        <v>1E-4</v>
      </c>
      <c r="C58">
        <v>1.02988137730873E-298</v>
      </c>
      <c r="D58">
        <v>6.6743185741014704E-2</v>
      </c>
      <c r="E58">
        <f>296</f>
        <v>296</v>
      </c>
      <c r="F58">
        <f t="shared" si="1"/>
        <v>1.6891891891891893E-4</v>
      </c>
      <c r="G58" t="str">
        <f t="shared" si="2"/>
        <v>yes</v>
      </c>
      <c r="H58" t="str">
        <f t="shared" si="0"/>
        <v>minimal effect</v>
      </c>
      <c r="I58" s="4" t="s">
        <v>8</v>
      </c>
    </row>
    <row r="59" spans="1:9">
      <c r="A59">
        <v>0.5</v>
      </c>
      <c r="B59">
        <v>5.0000000000000001E-4</v>
      </c>
      <c r="C59">
        <v>0</v>
      </c>
      <c r="D59">
        <v>-0.98118556534772505</v>
      </c>
      <c r="E59">
        <f>296</f>
        <v>296</v>
      </c>
      <c r="F59">
        <f t="shared" si="1"/>
        <v>1.6891891891891893E-4</v>
      </c>
      <c r="G59" t="str">
        <f t="shared" si="2"/>
        <v>yes</v>
      </c>
      <c r="H59" t="str">
        <f t="shared" si="0"/>
        <v>large</v>
      </c>
      <c r="I59" s="4" t="s">
        <v>8</v>
      </c>
    </row>
    <row r="60" spans="1:9">
      <c r="A60">
        <v>0.5</v>
      </c>
      <c r="B60">
        <v>1E-3</v>
      </c>
      <c r="C60">
        <v>0</v>
      </c>
      <c r="D60">
        <v>-0.96265529955067197</v>
      </c>
      <c r="E60">
        <f>296</f>
        <v>296</v>
      </c>
      <c r="F60">
        <f t="shared" si="1"/>
        <v>1.6891891891891893E-4</v>
      </c>
      <c r="G60" t="str">
        <f t="shared" si="2"/>
        <v>yes</v>
      </c>
      <c r="H60" t="str">
        <f t="shared" si="0"/>
        <v>large</v>
      </c>
      <c r="I60" s="4" t="s">
        <v>8</v>
      </c>
    </row>
    <row r="61" spans="1:9">
      <c r="A61">
        <v>0.5</v>
      </c>
      <c r="B61">
        <v>5.0000000000000001E-3</v>
      </c>
      <c r="C61">
        <v>0</v>
      </c>
      <c r="D61">
        <v>-0.845661621448769</v>
      </c>
      <c r="E61">
        <f>296</f>
        <v>296</v>
      </c>
      <c r="F61">
        <f t="shared" si="1"/>
        <v>1.6891891891891893E-4</v>
      </c>
      <c r="G61" t="str">
        <f t="shared" si="2"/>
        <v>yes</v>
      </c>
      <c r="H61" t="str">
        <f t="shared" si="0"/>
        <v>large</v>
      </c>
      <c r="I61" s="4" t="s">
        <v>8</v>
      </c>
    </row>
    <row r="62" spans="1:9">
      <c r="A62">
        <v>0.5</v>
      </c>
      <c r="B62">
        <v>0.01</v>
      </c>
      <c r="C62">
        <v>0</v>
      </c>
      <c r="D62">
        <v>-0.74537457566512</v>
      </c>
      <c r="E62">
        <f>296</f>
        <v>296</v>
      </c>
      <c r="F62">
        <f t="shared" si="1"/>
        <v>1.6891891891891893E-4</v>
      </c>
      <c r="G62" t="str">
        <f t="shared" si="2"/>
        <v>yes</v>
      </c>
      <c r="H62" t="str">
        <f t="shared" si="0"/>
        <v>large</v>
      </c>
      <c r="I62" s="4" t="s">
        <v>8</v>
      </c>
    </row>
    <row r="63" spans="1:9">
      <c r="A63">
        <v>0.5</v>
      </c>
      <c r="B63">
        <v>0.05</v>
      </c>
      <c r="C63">
        <v>0</v>
      </c>
      <c r="D63">
        <v>-0.36999716078734901</v>
      </c>
      <c r="E63">
        <f>296</f>
        <v>296</v>
      </c>
      <c r="F63">
        <f t="shared" si="1"/>
        <v>1.6891891891891893E-4</v>
      </c>
      <c r="G63" t="str">
        <f t="shared" si="2"/>
        <v>yes</v>
      </c>
      <c r="H63" t="str">
        <f t="shared" si="0"/>
        <v>medium</v>
      </c>
      <c r="I63" s="4" t="s">
        <v>8</v>
      </c>
    </row>
    <row r="64" spans="1:9">
      <c r="A64">
        <v>0.5</v>
      </c>
      <c r="B64">
        <v>0.1</v>
      </c>
      <c r="C64">
        <v>0</v>
      </c>
      <c r="D64">
        <v>-0.211700530880261</v>
      </c>
      <c r="E64">
        <f>296</f>
        <v>296</v>
      </c>
      <c r="F64">
        <f t="shared" si="1"/>
        <v>1.6891891891891893E-4</v>
      </c>
      <c r="G64" t="str">
        <f t="shared" si="2"/>
        <v>yes</v>
      </c>
      <c r="H64" t="str">
        <f t="shared" si="0"/>
        <v>small</v>
      </c>
      <c r="I64" s="4" t="s">
        <v>8</v>
      </c>
    </row>
    <row r="65" spans="1:10">
      <c r="A65" s="5">
        <v>0.5625</v>
      </c>
      <c r="B65" s="5">
        <v>1E-4</v>
      </c>
      <c r="C65">
        <v>0</v>
      </c>
      <c r="D65">
        <v>0.23124006224969401</v>
      </c>
      <c r="E65">
        <f>296</f>
        <v>296</v>
      </c>
      <c r="F65">
        <f t="shared" si="1"/>
        <v>1.6891891891891893E-4</v>
      </c>
      <c r="G65" t="str">
        <f t="shared" si="2"/>
        <v>yes</v>
      </c>
      <c r="H65" t="str">
        <f t="shared" si="0"/>
        <v>small</v>
      </c>
      <c r="I65" s="4" t="s">
        <v>8</v>
      </c>
    </row>
    <row r="66" spans="1:10">
      <c r="A66">
        <v>0.5625</v>
      </c>
      <c r="B66">
        <v>5.0000000000000001E-4</v>
      </c>
      <c r="C66">
        <v>0</v>
      </c>
      <c r="D66">
        <v>-0.97241558665272698</v>
      </c>
      <c r="E66">
        <f>296</f>
        <v>296</v>
      </c>
      <c r="F66">
        <f t="shared" si="1"/>
        <v>1.6891891891891893E-4</v>
      </c>
      <c r="G66" t="str">
        <f t="shared" si="2"/>
        <v>yes</v>
      </c>
      <c r="H66" t="str">
        <f t="shared" si="0"/>
        <v>large</v>
      </c>
      <c r="I66" s="4" t="s">
        <v>8</v>
      </c>
    </row>
    <row r="67" spans="1:10">
      <c r="A67">
        <v>0.5625</v>
      </c>
      <c r="B67">
        <v>1E-3</v>
      </c>
      <c r="C67">
        <v>0</v>
      </c>
      <c r="D67">
        <v>-0.93727009866047095</v>
      </c>
      <c r="E67">
        <f>296</f>
        <v>296</v>
      </c>
      <c r="F67">
        <f t="shared" si="1"/>
        <v>1.6891891891891893E-4</v>
      </c>
      <c r="G67" t="str">
        <f t="shared" si="2"/>
        <v>yes</v>
      </c>
      <c r="H67" t="str">
        <f t="shared" si="0"/>
        <v>large</v>
      </c>
      <c r="I67" s="4" t="s">
        <v>8</v>
      </c>
    </row>
    <row r="68" spans="1:10">
      <c r="A68">
        <v>0.5625</v>
      </c>
      <c r="B68">
        <v>5.0000000000000001E-3</v>
      </c>
      <c r="C68">
        <v>0</v>
      </c>
      <c r="D68">
        <v>-0.77335548143402</v>
      </c>
      <c r="E68">
        <f>296</f>
        <v>296</v>
      </c>
      <c r="F68">
        <f t="shared" si="1"/>
        <v>1.6891891891891893E-4</v>
      </c>
      <c r="G68" t="str">
        <f t="shared" si="2"/>
        <v>yes</v>
      </c>
      <c r="H68" t="str">
        <f t="shared" si="0"/>
        <v>large</v>
      </c>
      <c r="I68" s="4" t="s">
        <v>8</v>
      </c>
    </row>
    <row r="69" spans="1:10">
      <c r="A69">
        <v>0.5625</v>
      </c>
      <c r="B69">
        <v>0.01</v>
      </c>
      <c r="C69">
        <v>0</v>
      </c>
      <c r="D69">
        <v>-0.64792301168156796</v>
      </c>
      <c r="E69">
        <f>296</f>
        <v>296</v>
      </c>
      <c r="F69">
        <f t="shared" si="1"/>
        <v>1.6891891891891893E-4</v>
      </c>
      <c r="G69" t="str">
        <f t="shared" si="2"/>
        <v>yes</v>
      </c>
      <c r="H69" t="str">
        <f t="shared" si="0"/>
        <v>large</v>
      </c>
      <c r="I69" s="4" t="s">
        <v>8</v>
      </c>
    </row>
    <row r="70" spans="1:10">
      <c r="A70">
        <v>0.5625</v>
      </c>
      <c r="B70">
        <v>0.05</v>
      </c>
      <c r="C70">
        <v>0</v>
      </c>
      <c r="D70">
        <v>-0.28339963249647399</v>
      </c>
      <c r="E70">
        <f>296</f>
        <v>296</v>
      </c>
      <c r="F70">
        <f t="shared" si="1"/>
        <v>1.6891891891891893E-4</v>
      </c>
      <c r="G70" t="str">
        <f t="shared" si="2"/>
        <v>yes</v>
      </c>
      <c r="H70" t="str">
        <f t="shared" si="0"/>
        <v>medium</v>
      </c>
      <c r="I70" s="4" t="s">
        <v>8</v>
      </c>
    </row>
    <row r="71" spans="1:10">
      <c r="A71">
        <v>0.5625</v>
      </c>
      <c r="B71">
        <v>0.1</v>
      </c>
      <c r="C71">
        <v>0</v>
      </c>
      <c r="D71">
        <v>-0.14593898615536599</v>
      </c>
      <c r="E71">
        <f>296</f>
        <v>296</v>
      </c>
      <c r="F71">
        <f t="shared" si="1"/>
        <v>1.6891891891891893E-4</v>
      </c>
      <c r="G71" t="str">
        <f t="shared" si="2"/>
        <v>yes</v>
      </c>
      <c r="H71" t="str">
        <f t="shared" ref="H71:H134" si="5">IF(ABS(D71)&lt;0.11,"minimal effect",IF(ABS(D71)&lt;0.28,"small",IF(ABS(D71)&lt;0.43,"medium","large")))</f>
        <v>small</v>
      </c>
      <c r="I71" s="4" t="s">
        <v>8</v>
      </c>
    </row>
    <row r="72" spans="1:10">
      <c r="A72" s="5">
        <v>0.625</v>
      </c>
      <c r="B72" s="5">
        <v>1E-4</v>
      </c>
      <c r="C72">
        <v>0</v>
      </c>
      <c r="D72">
        <v>0.33956386246985598</v>
      </c>
      <c r="E72">
        <f>296</f>
        <v>296</v>
      </c>
      <c r="F72">
        <f t="shared" ref="F72:F135" si="6">0.05/E72</f>
        <v>1.6891891891891893E-4</v>
      </c>
      <c r="G72" t="str">
        <f t="shared" ref="G72:G135" si="7">IF(C72&lt;F72,"yes","no")</f>
        <v>yes</v>
      </c>
      <c r="H72" t="str">
        <f t="shared" si="5"/>
        <v>medium</v>
      </c>
      <c r="I72" s="4" t="s">
        <v>8</v>
      </c>
    </row>
    <row r="73" spans="1:10">
      <c r="A73">
        <v>0.625</v>
      </c>
      <c r="B73">
        <v>5.0000000000000001E-4</v>
      </c>
      <c r="C73">
        <v>0</v>
      </c>
      <c r="D73">
        <v>-0.93185110882371402</v>
      </c>
      <c r="E73">
        <f>296</f>
        <v>296</v>
      </c>
      <c r="F73">
        <f t="shared" si="6"/>
        <v>1.6891891891891893E-4</v>
      </c>
      <c r="G73" t="str">
        <f t="shared" si="7"/>
        <v>yes</v>
      </c>
      <c r="H73" t="str">
        <f t="shared" si="5"/>
        <v>large</v>
      </c>
      <c r="I73" s="4" t="s">
        <v>8</v>
      </c>
    </row>
    <row r="74" spans="1:10">
      <c r="A74">
        <v>0.625</v>
      </c>
      <c r="B74">
        <v>1E-3</v>
      </c>
      <c r="C74">
        <v>0</v>
      </c>
      <c r="D74">
        <v>-0.88451217208891397</v>
      </c>
      <c r="E74">
        <f>296</f>
        <v>296</v>
      </c>
      <c r="F74">
        <f t="shared" si="6"/>
        <v>1.6891891891891893E-4</v>
      </c>
      <c r="G74" t="str">
        <f t="shared" si="7"/>
        <v>yes</v>
      </c>
      <c r="H74" t="str">
        <f t="shared" si="5"/>
        <v>large</v>
      </c>
      <c r="I74" s="4" t="s">
        <v>8</v>
      </c>
    </row>
    <row r="75" spans="1:10">
      <c r="A75">
        <v>0.625</v>
      </c>
      <c r="B75">
        <v>5.0000000000000001E-3</v>
      </c>
      <c r="C75">
        <v>0</v>
      </c>
      <c r="D75">
        <v>-0.66589393596024105</v>
      </c>
      <c r="E75">
        <f>296</f>
        <v>296</v>
      </c>
      <c r="F75">
        <f t="shared" si="6"/>
        <v>1.6891891891891893E-4</v>
      </c>
      <c r="G75" t="str">
        <f t="shared" si="7"/>
        <v>yes</v>
      </c>
      <c r="H75" t="str">
        <f t="shared" si="5"/>
        <v>large</v>
      </c>
      <c r="I75" s="4" t="s">
        <v>8</v>
      </c>
    </row>
    <row r="76" spans="1:10">
      <c r="A76">
        <v>0.625</v>
      </c>
      <c r="B76">
        <v>0.01</v>
      </c>
      <c r="C76">
        <v>0</v>
      </c>
      <c r="D76">
        <v>-0.53941415926416802</v>
      </c>
      <c r="E76">
        <f>296</f>
        <v>296</v>
      </c>
      <c r="F76">
        <f t="shared" si="6"/>
        <v>1.6891891891891893E-4</v>
      </c>
      <c r="G76" t="str">
        <f t="shared" si="7"/>
        <v>yes</v>
      </c>
      <c r="H76" t="str">
        <f t="shared" si="5"/>
        <v>large</v>
      </c>
      <c r="I76" s="4" t="s">
        <v>8</v>
      </c>
    </row>
    <row r="77" spans="1:10">
      <c r="A77">
        <v>0.625</v>
      </c>
      <c r="B77">
        <v>0.05</v>
      </c>
      <c r="C77">
        <v>0</v>
      </c>
      <c r="D77">
        <v>-0.215268036562065</v>
      </c>
      <c r="E77">
        <f>296</f>
        <v>296</v>
      </c>
      <c r="F77">
        <f t="shared" si="6"/>
        <v>1.6891891891891893E-4</v>
      </c>
      <c r="G77" t="str">
        <f t="shared" si="7"/>
        <v>yes</v>
      </c>
      <c r="H77" t="str">
        <f t="shared" si="5"/>
        <v>small</v>
      </c>
      <c r="I77" s="4" t="s">
        <v>8</v>
      </c>
    </row>
    <row r="78" spans="1:10">
      <c r="A78">
        <v>0.625</v>
      </c>
      <c r="B78">
        <v>0.1</v>
      </c>
      <c r="C78">
        <v>0</v>
      </c>
      <c r="D78">
        <v>-0.104894347010812</v>
      </c>
      <c r="E78" s="22">
        <f>296</f>
        <v>296</v>
      </c>
      <c r="F78">
        <f t="shared" si="6"/>
        <v>1.6891891891891893E-4</v>
      </c>
      <c r="G78" t="str">
        <f t="shared" si="7"/>
        <v>yes</v>
      </c>
      <c r="H78" t="str">
        <f t="shared" si="5"/>
        <v>minimal effect</v>
      </c>
      <c r="I78" s="4" t="s">
        <v>8</v>
      </c>
    </row>
    <row r="79" spans="1:10">
      <c r="A79" s="7">
        <v>0.4375</v>
      </c>
      <c r="B79" s="7">
        <v>0</v>
      </c>
      <c r="C79" s="7">
        <v>0</v>
      </c>
      <c r="D79" s="7">
        <v>-0.365638641610458</v>
      </c>
      <c r="E79">
        <f>296</f>
        <v>296</v>
      </c>
      <c r="F79" s="7">
        <f t="shared" si="6"/>
        <v>1.6891891891891893E-4</v>
      </c>
      <c r="G79" s="7" t="str">
        <f t="shared" si="7"/>
        <v>yes</v>
      </c>
      <c r="H79" s="7" t="str">
        <f t="shared" si="5"/>
        <v>medium</v>
      </c>
      <c r="I79" s="11" t="s">
        <v>9</v>
      </c>
      <c r="J79" s="7"/>
    </row>
    <row r="80" spans="1:10">
      <c r="A80">
        <v>0.4375</v>
      </c>
      <c r="B80">
        <v>0.1</v>
      </c>
      <c r="C80">
        <v>0</v>
      </c>
      <c r="D80">
        <v>-0.74394500089191995</v>
      </c>
      <c r="E80">
        <f>296</f>
        <v>296</v>
      </c>
      <c r="F80">
        <f t="shared" si="6"/>
        <v>1.6891891891891893E-4</v>
      </c>
      <c r="G80" t="str">
        <f t="shared" si="7"/>
        <v>yes</v>
      </c>
      <c r="H80" t="str">
        <f t="shared" si="5"/>
        <v>large</v>
      </c>
      <c r="I80" s="6" t="s">
        <v>9</v>
      </c>
    </row>
    <row r="81" spans="1:9">
      <c r="A81">
        <v>0.4375</v>
      </c>
      <c r="B81">
        <v>0.2</v>
      </c>
      <c r="C81">
        <v>0</v>
      </c>
      <c r="D81">
        <v>-0.83804891945584403</v>
      </c>
      <c r="E81">
        <f>296</f>
        <v>296</v>
      </c>
      <c r="F81">
        <f t="shared" si="6"/>
        <v>1.6891891891891893E-4</v>
      </c>
      <c r="G81" t="str">
        <f t="shared" si="7"/>
        <v>yes</v>
      </c>
      <c r="H81" t="str">
        <f t="shared" si="5"/>
        <v>large</v>
      </c>
      <c r="I81" s="6" t="s">
        <v>9</v>
      </c>
    </row>
    <row r="82" spans="1:9">
      <c r="A82">
        <v>0.4375</v>
      </c>
      <c r="B82">
        <v>0.3</v>
      </c>
      <c r="C82">
        <v>0</v>
      </c>
      <c r="D82">
        <v>-0.841056578891335</v>
      </c>
      <c r="E82">
        <f>296</f>
        <v>296</v>
      </c>
      <c r="F82">
        <f t="shared" si="6"/>
        <v>1.6891891891891893E-4</v>
      </c>
      <c r="G82" t="str">
        <f t="shared" si="7"/>
        <v>yes</v>
      </c>
      <c r="H82" t="str">
        <f t="shared" si="5"/>
        <v>large</v>
      </c>
      <c r="I82" s="6" t="s">
        <v>9</v>
      </c>
    </row>
    <row r="83" spans="1:9">
      <c r="A83">
        <v>0.4375</v>
      </c>
      <c r="B83">
        <v>0.4</v>
      </c>
      <c r="C83">
        <v>0</v>
      </c>
      <c r="D83">
        <v>-0.83645224098332605</v>
      </c>
      <c r="E83">
        <f>296</f>
        <v>296</v>
      </c>
      <c r="F83">
        <f t="shared" si="6"/>
        <v>1.6891891891891893E-4</v>
      </c>
      <c r="G83" t="str">
        <f t="shared" si="7"/>
        <v>yes</v>
      </c>
      <c r="H83" t="str">
        <f t="shared" si="5"/>
        <v>large</v>
      </c>
      <c r="I83" s="6" t="s">
        <v>9</v>
      </c>
    </row>
    <row r="84" spans="1:9">
      <c r="A84">
        <v>0.4375</v>
      </c>
      <c r="B84">
        <v>0.5</v>
      </c>
      <c r="C84">
        <v>0</v>
      </c>
      <c r="D84">
        <v>-0.82668224688412895</v>
      </c>
      <c r="E84">
        <f>296</f>
        <v>296</v>
      </c>
      <c r="F84">
        <f t="shared" si="6"/>
        <v>1.6891891891891893E-4</v>
      </c>
      <c r="G84" t="str">
        <f t="shared" si="7"/>
        <v>yes</v>
      </c>
      <c r="H84" t="str">
        <f t="shared" si="5"/>
        <v>large</v>
      </c>
      <c r="I84" s="6" t="s">
        <v>9</v>
      </c>
    </row>
    <row r="85" spans="1:9">
      <c r="A85">
        <v>0.4375</v>
      </c>
      <c r="B85">
        <v>0.6</v>
      </c>
      <c r="C85">
        <v>0</v>
      </c>
      <c r="D85">
        <v>-0.81314502437614999</v>
      </c>
      <c r="E85">
        <f>296</f>
        <v>296</v>
      </c>
      <c r="F85">
        <f t="shared" si="6"/>
        <v>1.6891891891891893E-4</v>
      </c>
      <c r="G85" t="str">
        <f t="shared" si="7"/>
        <v>yes</v>
      </c>
      <c r="H85" t="str">
        <f t="shared" si="5"/>
        <v>large</v>
      </c>
      <c r="I85" s="6" t="s">
        <v>9</v>
      </c>
    </row>
    <row r="86" spans="1:9">
      <c r="A86">
        <v>0.4375</v>
      </c>
      <c r="B86">
        <v>0.7</v>
      </c>
      <c r="C86">
        <v>0</v>
      </c>
      <c r="D86">
        <v>-0.80220008685356403</v>
      </c>
      <c r="E86">
        <f>296</f>
        <v>296</v>
      </c>
      <c r="F86">
        <f t="shared" si="6"/>
        <v>1.6891891891891893E-4</v>
      </c>
      <c r="G86" t="str">
        <f t="shared" si="7"/>
        <v>yes</v>
      </c>
      <c r="H86" t="str">
        <f t="shared" si="5"/>
        <v>large</v>
      </c>
      <c r="I86" s="6" t="s">
        <v>9</v>
      </c>
    </row>
    <row r="87" spans="1:9">
      <c r="A87">
        <v>0.4375</v>
      </c>
      <c r="B87">
        <v>0.8</v>
      </c>
      <c r="C87">
        <v>0</v>
      </c>
      <c r="D87">
        <v>-0.78505415217747898</v>
      </c>
      <c r="E87">
        <f>296</f>
        <v>296</v>
      </c>
      <c r="F87">
        <f t="shared" si="6"/>
        <v>1.6891891891891893E-4</v>
      </c>
      <c r="G87" t="str">
        <f t="shared" si="7"/>
        <v>yes</v>
      </c>
      <c r="H87" t="str">
        <f t="shared" si="5"/>
        <v>large</v>
      </c>
      <c r="I87" s="6" t="s">
        <v>9</v>
      </c>
    </row>
    <row r="88" spans="1:9">
      <c r="A88">
        <v>0.4375</v>
      </c>
      <c r="B88">
        <v>0.9</v>
      </c>
      <c r="C88">
        <v>0</v>
      </c>
      <c r="D88">
        <v>-0.751334155154185</v>
      </c>
      <c r="E88">
        <f>296</f>
        <v>296</v>
      </c>
      <c r="F88">
        <f t="shared" si="6"/>
        <v>1.6891891891891893E-4</v>
      </c>
      <c r="G88" t="str">
        <f t="shared" si="7"/>
        <v>yes</v>
      </c>
      <c r="H88" t="str">
        <f t="shared" si="5"/>
        <v>large</v>
      </c>
      <c r="I88" s="6" t="s">
        <v>9</v>
      </c>
    </row>
    <row r="89" spans="1:9">
      <c r="A89">
        <v>0.4375</v>
      </c>
      <c r="B89">
        <v>1</v>
      </c>
      <c r="C89">
        <v>0</v>
      </c>
      <c r="D89">
        <v>-0.71217368730130304</v>
      </c>
      <c r="E89">
        <f>296</f>
        <v>296</v>
      </c>
      <c r="F89">
        <f t="shared" si="6"/>
        <v>1.6891891891891893E-4</v>
      </c>
      <c r="G89" t="str">
        <f t="shared" si="7"/>
        <v>yes</v>
      </c>
      <c r="H89" t="str">
        <f t="shared" si="5"/>
        <v>large</v>
      </c>
      <c r="I89" s="6" t="s">
        <v>9</v>
      </c>
    </row>
    <row r="90" spans="1:9">
      <c r="A90">
        <v>0.5</v>
      </c>
      <c r="B90">
        <v>0</v>
      </c>
      <c r="C90">
        <v>6.8007089258469301E-244</v>
      </c>
      <c r="D90">
        <v>-0.27089452497041699</v>
      </c>
      <c r="E90">
        <f>296</f>
        <v>296</v>
      </c>
      <c r="F90">
        <f t="shared" si="6"/>
        <v>1.6891891891891893E-4</v>
      </c>
      <c r="G90" t="str">
        <f t="shared" si="7"/>
        <v>yes</v>
      </c>
      <c r="H90" t="str">
        <f t="shared" si="5"/>
        <v>small</v>
      </c>
      <c r="I90" s="6" t="s">
        <v>9</v>
      </c>
    </row>
    <row r="91" spans="1:9">
      <c r="A91">
        <v>0.5</v>
      </c>
      <c r="B91">
        <v>0.1</v>
      </c>
      <c r="C91">
        <v>0</v>
      </c>
      <c r="D91">
        <v>-0.63383230971063897</v>
      </c>
      <c r="E91">
        <f>296</f>
        <v>296</v>
      </c>
      <c r="F91">
        <f t="shared" si="6"/>
        <v>1.6891891891891893E-4</v>
      </c>
      <c r="G91" t="str">
        <f t="shared" si="7"/>
        <v>yes</v>
      </c>
      <c r="H91" t="str">
        <f t="shared" si="5"/>
        <v>large</v>
      </c>
      <c r="I91" s="6" t="s">
        <v>9</v>
      </c>
    </row>
    <row r="92" spans="1:9">
      <c r="A92">
        <v>0.5</v>
      </c>
      <c r="B92">
        <v>0.2</v>
      </c>
      <c r="C92">
        <v>0</v>
      </c>
      <c r="D92">
        <v>-0.74766347953680001</v>
      </c>
      <c r="E92">
        <f>296</f>
        <v>296</v>
      </c>
      <c r="F92">
        <f t="shared" si="6"/>
        <v>1.6891891891891893E-4</v>
      </c>
      <c r="G92" t="str">
        <f t="shared" si="7"/>
        <v>yes</v>
      </c>
      <c r="H92" t="str">
        <f t="shared" si="5"/>
        <v>large</v>
      </c>
      <c r="I92" s="6" t="s">
        <v>9</v>
      </c>
    </row>
    <row r="93" spans="1:9">
      <c r="A93">
        <v>0.5</v>
      </c>
      <c r="B93">
        <v>0.3</v>
      </c>
      <c r="C93">
        <v>0</v>
      </c>
      <c r="D93">
        <v>-0.758851748144455</v>
      </c>
      <c r="E93">
        <f>296</f>
        <v>296</v>
      </c>
      <c r="F93">
        <f t="shared" si="6"/>
        <v>1.6891891891891893E-4</v>
      </c>
      <c r="G93" t="str">
        <f t="shared" si="7"/>
        <v>yes</v>
      </c>
      <c r="H93" t="str">
        <f t="shared" si="5"/>
        <v>large</v>
      </c>
      <c r="I93" s="6" t="s">
        <v>9</v>
      </c>
    </row>
    <row r="94" spans="1:9">
      <c r="A94">
        <v>0.5</v>
      </c>
      <c r="B94">
        <v>0.4</v>
      </c>
      <c r="C94">
        <v>0</v>
      </c>
      <c r="D94">
        <v>-0.753537076037606</v>
      </c>
      <c r="E94">
        <f>296</f>
        <v>296</v>
      </c>
      <c r="F94">
        <f t="shared" si="6"/>
        <v>1.6891891891891893E-4</v>
      </c>
      <c r="G94" t="str">
        <f t="shared" si="7"/>
        <v>yes</v>
      </c>
      <c r="H94" t="str">
        <f t="shared" si="5"/>
        <v>large</v>
      </c>
      <c r="I94" s="6" t="s">
        <v>9</v>
      </c>
    </row>
    <row r="95" spans="1:9">
      <c r="A95">
        <v>0.5</v>
      </c>
      <c r="B95">
        <v>0.5</v>
      </c>
      <c r="C95">
        <v>0</v>
      </c>
      <c r="D95">
        <v>-0.743814937410465</v>
      </c>
      <c r="E95">
        <f>296</f>
        <v>296</v>
      </c>
      <c r="F95">
        <f t="shared" si="6"/>
        <v>1.6891891891891893E-4</v>
      </c>
      <c r="G95" t="str">
        <f t="shared" si="7"/>
        <v>yes</v>
      </c>
      <c r="H95" t="str">
        <f t="shared" si="5"/>
        <v>large</v>
      </c>
      <c r="I95" s="6" t="s">
        <v>9</v>
      </c>
    </row>
    <row r="96" spans="1:9">
      <c r="A96">
        <v>0.5</v>
      </c>
      <c r="B96">
        <v>0.6</v>
      </c>
      <c r="C96">
        <v>0</v>
      </c>
      <c r="D96">
        <v>-0.73046167151102503</v>
      </c>
      <c r="E96">
        <f>296</f>
        <v>296</v>
      </c>
      <c r="F96">
        <f t="shared" si="6"/>
        <v>1.6891891891891893E-4</v>
      </c>
      <c r="G96" t="str">
        <f t="shared" si="7"/>
        <v>yes</v>
      </c>
      <c r="H96" t="str">
        <f t="shared" si="5"/>
        <v>large</v>
      </c>
      <c r="I96" s="6" t="s">
        <v>9</v>
      </c>
    </row>
    <row r="97" spans="1:9">
      <c r="A97">
        <v>0.5</v>
      </c>
      <c r="B97">
        <v>0.7</v>
      </c>
      <c r="C97">
        <v>0</v>
      </c>
      <c r="D97">
        <v>-0.71036477889010896</v>
      </c>
      <c r="E97">
        <f>296</f>
        <v>296</v>
      </c>
      <c r="F97">
        <f t="shared" si="6"/>
        <v>1.6891891891891893E-4</v>
      </c>
      <c r="G97" t="str">
        <f t="shared" si="7"/>
        <v>yes</v>
      </c>
      <c r="H97" t="str">
        <f t="shared" si="5"/>
        <v>large</v>
      </c>
      <c r="I97" s="6" t="s">
        <v>9</v>
      </c>
    </row>
    <row r="98" spans="1:9">
      <c r="A98">
        <v>0.5</v>
      </c>
      <c r="B98">
        <v>0.8</v>
      </c>
      <c r="C98">
        <v>0</v>
      </c>
      <c r="D98">
        <v>-0.68550546016295</v>
      </c>
      <c r="E98">
        <f>296</f>
        <v>296</v>
      </c>
      <c r="F98">
        <f t="shared" si="6"/>
        <v>1.6891891891891893E-4</v>
      </c>
      <c r="G98" t="str">
        <f t="shared" si="7"/>
        <v>yes</v>
      </c>
      <c r="H98" t="str">
        <f t="shared" si="5"/>
        <v>large</v>
      </c>
      <c r="I98" s="6" t="s">
        <v>9</v>
      </c>
    </row>
    <row r="99" spans="1:9">
      <c r="A99">
        <v>0.5</v>
      </c>
      <c r="B99">
        <v>0.9</v>
      </c>
      <c r="C99">
        <v>0</v>
      </c>
      <c r="D99">
        <v>-0.64788231737991997</v>
      </c>
      <c r="E99">
        <f>296</f>
        <v>296</v>
      </c>
      <c r="F99">
        <f t="shared" si="6"/>
        <v>1.6891891891891893E-4</v>
      </c>
      <c r="G99" t="str">
        <f t="shared" si="7"/>
        <v>yes</v>
      </c>
      <c r="H99" t="str">
        <f t="shared" si="5"/>
        <v>large</v>
      </c>
      <c r="I99" s="6" t="s">
        <v>9</v>
      </c>
    </row>
    <row r="100" spans="1:9">
      <c r="A100">
        <v>0.5</v>
      </c>
      <c r="B100">
        <v>1</v>
      </c>
      <c r="C100">
        <v>0</v>
      </c>
      <c r="D100">
        <v>-0.567744296243192</v>
      </c>
      <c r="E100">
        <f>296</f>
        <v>296</v>
      </c>
      <c r="F100">
        <f t="shared" si="6"/>
        <v>1.6891891891891893E-4</v>
      </c>
      <c r="G100" t="str">
        <f t="shared" si="7"/>
        <v>yes</v>
      </c>
      <c r="H100" t="str">
        <f t="shared" si="5"/>
        <v>large</v>
      </c>
      <c r="I100" s="6" t="s">
        <v>9</v>
      </c>
    </row>
    <row r="101" spans="1:9">
      <c r="A101">
        <v>0.5625</v>
      </c>
      <c r="B101">
        <v>0</v>
      </c>
      <c r="C101">
        <v>3.37952205790698E-140</v>
      </c>
      <c r="D101">
        <v>-0.20488947403274399</v>
      </c>
      <c r="E101">
        <f>296</f>
        <v>296</v>
      </c>
      <c r="F101">
        <f t="shared" si="6"/>
        <v>1.6891891891891893E-4</v>
      </c>
      <c r="G101" t="str">
        <f t="shared" si="7"/>
        <v>yes</v>
      </c>
      <c r="H101" t="str">
        <f t="shared" si="5"/>
        <v>small</v>
      </c>
      <c r="I101" s="6" t="s">
        <v>9</v>
      </c>
    </row>
    <row r="102" spans="1:9">
      <c r="A102">
        <v>0.5625</v>
      </c>
      <c r="B102">
        <v>0.1</v>
      </c>
      <c r="C102">
        <v>0</v>
      </c>
      <c r="D102">
        <v>-0.50267124292433696</v>
      </c>
      <c r="E102">
        <f>296</f>
        <v>296</v>
      </c>
      <c r="F102">
        <f t="shared" si="6"/>
        <v>1.6891891891891893E-4</v>
      </c>
      <c r="G102" t="str">
        <f t="shared" si="7"/>
        <v>yes</v>
      </c>
      <c r="H102" t="str">
        <f t="shared" si="5"/>
        <v>large</v>
      </c>
      <c r="I102" s="6" t="s">
        <v>9</v>
      </c>
    </row>
    <row r="103" spans="1:9">
      <c r="A103">
        <v>0.5625</v>
      </c>
      <c r="B103">
        <v>0.2</v>
      </c>
      <c r="C103">
        <v>0</v>
      </c>
      <c r="D103">
        <v>-0.64343292264065599</v>
      </c>
      <c r="E103">
        <f>296</f>
        <v>296</v>
      </c>
      <c r="F103">
        <f t="shared" si="6"/>
        <v>1.6891891891891893E-4</v>
      </c>
      <c r="G103" t="str">
        <f t="shared" si="7"/>
        <v>yes</v>
      </c>
      <c r="H103" t="str">
        <f t="shared" si="5"/>
        <v>large</v>
      </c>
      <c r="I103" s="6" t="s">
        <v>9</v>
      </c>
    </row>
    <row r="104" spans="1:9">
      <c r="A104">
        <v>0.5625</v>
      </c>
      <c r="B104">
        <v>0.3</v>
      </c>
      <c r="C104">
        <v>0</v>
      </c>
      <c r="D104">
        <v>-0.66367799319938303</v>
      </c>
      <c r="E104">
        <f>296</f>
        <v>296</v>
      </c>
      <c r="F104">
        <f t="shared" si="6"/>
        <v>1.6891891891891893E-4</v>
      </c>
      <c r="G104" t="str">
        <f t="shared" si="7"/>
        <v>yes</v>
      </c>
      <c r="H104" t="str">
        <f t="shared" si="5"/>
        <v>large</v>
      </c>
      <c r="I104" s="6" t="s">
        <v>9</v>
      </c>
    </row>
    <row r="105" spans="1:9">
      <c r="A105">
        <v>0.5625</v>
      </c>
      <c r="B105">
        <v>0.4</v>
      </c>
      <c r="C105">
        <v>0</v>
      </c>
      <c r="D105">
        <v>-0.66304375122049997</v>
      </c>
      <c r="E105">
        <f>296</f>
        <v>296</v>
      </c>
      <c r="F105">
        <f t="shared" si="6"/>
        <v>1.6891891891891893E-4</v>
      </c>
      <c r="G105" t="str">
        <f t="shared" si="7"/>
        <v>yes</v>
      </c>
      <c r="H105" t="str">
        <f t="shared" si="5"/>
        <v>large</v>
      </c>
      <c r="I105" s="6" t="s">
        <v>9</v>
      </c>
    </row>
    <row r="106" spans="1:9">
      <c r="A106">
        <v>0.5625</v>
      </c>
      <c r="B106">
        <v>0.5</v>
      </c>
      <c r="C106">
        <v>0</v>
      </c>
      <c r="D106">
        <v>-0.64819210062732202</v>
      </c>
      <c r="E106">
        <f>296</f>
        <v>296</v>
      </c>
      <c r="F106">
        <f t="shared" si="6"/>
        <v>1.6891891891891893E-4</v>
      </c>
      <c r="G106" t="str">
        <f t="shared" si="7"/>
        <v>yes</v>
      </c>
      <c r="H106" t="str">
        <f t="shared" si="5"/>
        <v>large</v>
      </c>
      <c r="I106" s="6" t="s">
        <v>9</v>
      </c>
    </row>
    <row r="107" spans="1:9">
      <c r="A107">
        <v>0.5625</v>
      </c>
      <c r="B107">
        <v>0.6</v>
      </c>
      <c r="C107">
        <v>0</v>
      </c>
      <c r="D107">
        <v>-0.63670317807695598</v>
      </c>
      <c r="E107">
        <f>296</f>
        <v>296</v>
      </c>
      <c r="F107">
        <f t="shared" si="6"/>
        <v>1.6891891891891893E-4</v>
      </c>
      <c r="G107" t="str">
        <f t="shared" si="7"/>
        <v>yes</v>
      </c>
      <c r="H107" t="str">
        <f t="shared" si="5"/>
        <v>large</v>
      </c>
      <c r="I107" s="6" t="s">
        <v>9</v>
      </c>
    </row>
    <row r="108" spans="1:9">
      <c r="A108">
        <v>0.5625</v>
      </c>
      <c r="B108">
        <v>0.7</v>
      </c>
      <c r="C108">
        <v>0</v>
      </c>
      <c r="D108">
        <v>-0.60963176386970197</v>
      </c>
      <c r="E108">
        <f>296</f>
        <v>296</v>
      </c>
      <c r="F108">
        <f t="shared" si="6"/>
        <v>1.6891891891891893E-4</v>
      </c>
      <c r="G108" t="str">
        <f t="shared" si="7"/>
        <v>yes</v>
      </c>
      <c r="H108" t="str">
        <f t="shared" si="5"/>
        <v>large</v>
      </c>
      <c r="I108" s="6" t="s">
        <v>9</v>
      </c>
    </row>
    <row r="109" spans="1:9">
      <c r="A109">
        <v>0.5625</v>
      </c>
      <c r="B109">
        <v>0.8</v>
      </c>
      <c r="C109">
        <v>0</v>
      </c>
      <c r="D109">
        <v>-0.57924155557441004</v>
      </c>
      <c r="E109">
        <f>296</f>
        <v>296</v>
      </c>
      <c r="F109">
        <f t="shared" si="6"/>
        <v>1.6891891891891893E-4</v>
      </c>
      <c r="G109" t="str">
        <f t="shared" si="7"/>
        <v>yes</v>
      </c>
      <c r="H109" t="str">
        <f t="shared" si="5"/>
        <v>large</v>
      </c>
      <c r="I109" s="6" t="s">
        <v>9</v>
      </c>
    </row>
    <row r="110" spans="1:9">
      <c r="A110">
        <v>0.5625</v>
      </c>
      <c r="B110">
        <v>0.9</v>
      </c>
      <c r="C110">
        <v>0</v>
      </c>
      <c r="D110">
        <v>-0.53041140206883697</v>
      </c>
      <c r="E110">
        <f>296</f>
        <v>296</v>
      </c>
      <c r="F110">
        <f t="shared" si="6"/>
        <v>1.6891891891891893E-4</v>
      </c>
      <c r="G110" t="str">
        <f t="shared" si="7"/>
        <v>yes</v>
      </c>
      <c r="H110" t="str">
        <f t="shared" si="5"/>
        <v>large</v>
      </c>
      <c r="I110" s="6" t="s">
        <v>9</v>
      </c>
    </row>
    <row r="111" spans="1:9">
      <c r="A111">
        <v>0.5625</v>
      </c>
      <c r="B111">
        <v>1</v>
      </c>
      <c r="C111">
        <v>0</v>
      </c>
      <c r="D111">
        <v>-0.415836846672831</v>
      </c>
      <c r="E111">
        <f>296</f>
        <v>296</v>
      </c>
      <c r="F111">
        <f t="shared" si="6"/>
        <v>1.6891891891891893E-4</v>
      </c>
      <c r="G111" t="str">
        <f t="shared" si="7"/>
        <v>yes</v>
      </c>
      <c r="H111" t="str">
        <f t="shared" si="5"/>
        <v>medium</v>
      </c>
      <c r="I111" s="6" t="s">
        <v>9</v>
      </c>
    </row>
    <row r="112" spans="1:9">
      <c r="A112">
        <v>0.625</v>
      </c>
      <c r="B112">
        <v>0</v>
      </c>
      <c r="C112">
        <v>2.6440774717113201E-61</v>
      </c>
      <c r="D112">
        <v>-0.137238529997216</v>
      </c>
      <c r="E112">
        <f>296</f>
        <v>296</v>
      </c>
      <c r="F112">
        <f t="shared" si="6"/>
        <v>1.6891891891891893E-4</v>
      </c>
      <c r="G112" t="str">
        <f t="shared" si="7"/>
        <v>yes</v>
      </c>
      <c r="H112" t="str">
        <f t="shared" si="5"/>
        <v>small</v>
      </c>
      <c r="I112" s="6" t="s">
        <v>9</v>
      </c>
    </row>
    <row r="113" spans="1:9">
      <c r="A113">
        <v>0.625</v>
      </c>
      <c r="B113">
        <v>0.1</v>
      </c>
      <c r="C113">
        <v>0</v>
      </c>
      <c r="D113">
        <v>-0.41033180903904698</v>
      </c>
      <c r="E113">
        <f>296</f>
        <v>296</v>
      </c>
      <c r="F113">
        <f t="shared" si="6"/>
        <v>1.6891891891891893E-4</v>
      </c>
      <c r="G113" t="str">
        <f t="shared" si="7"/>
        <v>yes</v>
      </c>
      <c r="H113" t="str">
        <f t="shared" si="5"/>
        <v>medium</v>
      </c>
      <c r="I113" s="6" t="s">
        <v>9</v>
      </c>
    </row>
    <row r="114" spans="1:9">
      <c r="A114">
        <v>0.625</v>
      </c>
      <c r="B114">
        <v>0.2</v>
      </c>
      <c r="C114">
        <v>0</v>
      </c>
      <c r="D114">
        <v>-0.52531035991662101</v>
      </c>
      <c r="E114">
        <f>296</f>
        <v>296</v>
      </c>
      <c r="F114">
        <f t="shared" si="6"/>
        <v>1.6891891891891893E-4</v>
      </c>
      <c r="G114" t="str">
        <f t="shared" si="7"/>
        <v>yes</v>
      </c>
      <c r="H114" t="str">
        <f t="shared" si="5"/>
        <v>large</v>
      </c>
      <c r="I114" s="6" t="s">
        <v>9</v>
      </c>
    </row>
    <row r="115" spans="1:9">
      <c r="A115">
        <v>0.625</v>
      </c>
      <c r="B115">
        <v>0.3</v>
      </c>
      <c r="C115">
        <v>0</v>
      </c>
      <c r="D115">
        <v>-0.55414209962234495</v>
      </c>
      <c r="E115">
        <f>296</f>
        <v>296</v>
      </c>
      <c r="F115">
        <f t="shared" si="6"/>
        <v>1.6891891891891893E-4</v>
      </c>
      <c r="G115" t="str">
        <f t="shared" si="7"/>
        <v>yes</v>
      </c>
      <c r="H115" t="str">
        <f t="shared" si="5"/>
        <v>large</v>
      </c>
      <c r="I115" s="6" t="s">
        <v>9</v>
      </c>
    </row>
    <row r="116" spans="1:9">
      <c r="A116">
        <v>0.625</v>
      </c>
      <c r="B116">
        <v>0.4</v>
      </c>
      <c r="C116">
        <v>0</v>
      </c>
      <c r="D116">
        <v>-0.54879694829991199</v>
      </c>
      <c r="E116">
        <f>296</f>
        <v>296</v>
      </c>
      <c r="F116">
        <f t="shared" si="6"/>
        <v>1.6891891891891893E-4</v>
      </c>
      <c r="G116" t="str">
        <f t="shared" si="7"/>
        <v>yes</v>
      </c>
      <c r="H116" t="str">
        <f t="shared" si="5"/>
        <v>large</v>
      </c>
      <c r="I116" s="6" t="s">
        <v>9</v>
      </c>
    </row>
    <row r="117" spans="1:9">
      <c r="A117">
        <v>0.625</v>
      </c>
      <c r="B117">
        <v>0.5</v>
      </c>
      <c r="C117">
        <v>0</v>
      </c>
      <c r="D117">
        <v>-0.53614121837296302</v>
      </c>
      <c r="E117">
        <f>296</f>
        <v>296</v>
      </c>
      <c r="F117">
        <f t="shared" si="6"/>
        <v>1.6891891891891893E-4</v>
      </c>
      <c r="G117" t="str">
        <f t="shared" si="7"/>
        <v>yes</v>
      </c>
      <c r="H117" t="str">
        <f t="shared" si="5"/>
        <v>large</v>
      </c>
      <c r="I117" s="6" t="s">
        <v>9</v>
      </c>
    </row>
    <row r="118" spans="1:9">
      <c r="A118">
        <v>0.625</v>
      </c>
      <c r="B118">
        <v>0.6</v>
      </c>
      <c r="C118">
        <v>0</v>
      </c>
      <c r="D118">
        <v>-0.52749434089890002</v>
      </c>
      <c r="E118">
        <f>296</f>
        <v>296</v>
      </c>
      <c r="F118">
        <f t="shared" si="6"/>
        <v>1.6891891891891893E-4</v>
      </c>
      <c r="G118" t="str">
        <f t="shared" si="7"/>
        <v>yes</v>
      </c>
      <c r="H118" t="str">
        <f t="shared" si="5"/>
        <v>large</v>
      </c>
      <c r="I118" s="6" t="s">
        <v>9</v>
      </c>
    </row>
    <row r="119" spans="1:9">
      <c r="A119">
        <v>0.625</v>
      </c>
      <c r="B119">
        <v>0.7</v>
      </c>
      <c r="C119">
        <v>0</v>
      </c>
      <c r="D119">
        <v>-0.50583216644423701</v>
      </c>
      <c r="E119">
        <f>296</f>
        <v>296</v>
      </c>
      <c r="F119">
        <f t="shared" si="6"/>
        <v>1.6891891891891893E-4</v>
      </c>
      <c r="G119" t="str">
        <f t="shared" si="7"/>
        <v>yes</v>
      </c>
      <c r="H119" t="str">
        <f t="shared" si="5"/>
        <v>large</v>
      </c>
      <c r="I119" s="6" t="s">
        <v>9</v>
      </c>
    </row>
    <row r="120" spans="1:9">
      <c r="A120">
        <v>0.625</v>
      </c>
      <c r="B120">
        <v>0.8</v>
      </c>
      <c r="C120">
        <v>0</v>
      </c>
      <c r="D120">
        <v>-0.470300121903794</v>
      </c>
      <c r="E120">
        <f>296</f>
        <v>296</v>
      </c>
      <c r="F120">
        <f t="shared" si="6"/>
        <v>1.6891891891891893E-4</v>
      </c>
      <c r="G120" t="str">
        <f t="shared" si="7"/>
        <v>yes</v>
      </c>
      <c r="H120" t="str">
        <f t="shared" si="5"/>
        <v>large</v>
      </c>
      <c r="I120" s="6" t="s">
        <v>9</v>
      </c>
    </row>
    <row r="121" spans="1:9">
      <c r="A121">
        <v>0.625</v>
      </c>
      <c r="B121">
        <v>0.9</v>
      </c>
      <c r="C121">
        <v>0</v>
      </c>
      <c r="D121">
        <v>-0.41888729765604699</v>
      </c>
      <c r="E121">
        <f>296</f>
        <v>296</v>
      </c>
      <c r="F121">
        <f t="shared" si="6"/>
        <v>1.6891891891891893E-4</v>
      </c>
      <c r="G121" t="str">
        <f t="shared" si="7"/>
        <v>yes</v>
      </c>
      <c r="H121" t="str">
        <f t="shared" si="5"/>
        <v>medium</v>
      </c>
      <c r="I121" s="6" t="s">
        <v>9</v>
      </c>
    </row>
    <row r="122" spans="1:9">
      <c r="A122">
        <v>0.625</v>
      </c>
      <c r="B122">
        <v>1</v>
      </c>
      <c r="C122">
        <v>0</v>
      </c>
      <c r="D122">
        <v>-0.29532383336580598</v>
      </c>
      <c r="E122">
        <f>296</f>
        <v>296</v>
      </c>
      <c r="F122">
        <f t="shared" si="6"/>
        <v>1.6891891891891893E-4</v>
      </c>
      <c r="G122" t="str">
        <f t="shared" si="7"/>
        <v>yes</v>
      </c>
      <c r="H122" t="str">
        <f t="shared" si="5"/>
        <v>medium</v>
      </c>
      <c r="I122" s="6" t="s">
        <v>9</v>
      </c>
    </row>
    <row r="123" spans="1:9">
      <c r="A123">
        <v>0.375</v>
      </c>
      <c r="B123">
        <v>0</v>
      </c>
      <c r="C123">
        <v>0</v>
      </c>
      <c r="D123">
        <v>-0.44022212363771301</v>
      </c>
      <c r="E123">
        <f>296</f>
        <v>296</v>
      </c>
      <c r="F123">
        <f t="shared" si="6"/>
        <v>1.6891891891891893E-4</v>
      </c>
      <c r="G123" t="str">
        <f t="shared" si="7"/>
        <v>yes</v>
      </c>
      <c r="H123" t="str">
        <f t="shared" si="5"/>
        <v>large</v>
      </c>
      <c r="I123" s="6" t="s">
        <v>9</v>
      </c>
    </row>
    <row r="124" spans="1:9">
      <c r="A124">
        <v>0.375</v>
      </c>
      <c r="B124">
        <v>0.1</v>
      </c>
      <c r="C124">
        <v>0</v>
      </c>
      <c r="D124">
        <v>-0.834398249121721</v>
      </c>
      <c r="E124">
        <f>296</f>
        <v>296</v>
      </c>
      <c r="F124">
        <f t="shared" si="6"/>
        <v>1.6891891891891893E-4</v>
      </c>
      <c r="G124" t="str">
        <f t="shared" si="7"/>
        <v>yes</v>
      </c>
      <c r="H124" t="str">
        <f t="shared" si="5"/>
        <v>large</v>
      </c>
      <c r="I124" s="6" t="s">
        <v>9</v>
      </c>
    </row>
    <row r="125" spans="1:9">
      <c r="A125">
        <v>0.375</v>
      </c>
      <c r="B125">
        <v>0.2</v>
      </c>
      <c r="C125">
        <v>0</v>
      </c>
      <c r="D125">
        <v>-0.88913574391341998</v>
      </c>
      <c r="E125">
        <f>296</f>
        <v>296</v>
      </c>
      <c r="F125">
        <f t="shared" si="6"/>
        <v>1.6891891891891893E-4</v>
      </c>
      <c r="G125" t="str">
        <f t="shared" si="7"/>
        <v>yes</v>
      </c>
      <c r="H125" t="str">
        <f t="shared" si="5"/>
        <v>large</v>
      </c>
      <c r="I125" s="6" t="s">
        <v>9</v>
      </c>
    </row>
    <row r="126" spans="1:9">
      <c r="A126">
        <v>0.375</v>
      </c>
      <c r="B126">
        <v>0.3</v>
      </c>
      <c r="C126">
        <v>0</v>
      </c>
      <c r="D126">
        <v>-0.90118748152248795</v>
      </c>
      <c r="E126">
        <f>296</f>
        <v>296</v>
      </c>
      <c r="F126">
        <f t="shared" si="6"/>
        <v>1.6891891891891893E-4</v>
      </c>
      <c r="G126" t="str">
        <f t="shared" si="7"/>
        <v>yes</v>
      </c>
      <c r="H126" t="str">
        <f t="shared" si="5"/>
        <v>large</v>
      </c>
      <c r="I126" s="6" t="s">
        <v>9</v>
      </c>
    </row>
    <row r="127" spans="1:9">
      <c r="A127">
        <v>0.375</v>
      </c>
      <c r="B127">
        <v>0.4</v>
      </c>
      <c r="C127">
        <v>0</v>
      </c>
      <c r="D127">
        <v>-0.89908841515787596</v>
      </c>
      <c r="E127">
        <f>296</f>
        <v>296</v>
      </c>
      <c r="F127">
        <f t="shared" si="6"/>
        <v>1.6891891891891893E-4</v>
      </c>
      <c r="G127" t="str">
        <f t="shared" si="7"/>
        <v>yes</v>
      </c>
      <c r="H127" t="str">
        <f t="shared" si="5"/>
        <v>large</v>
      </c>
      <c r="I127" s="6" t="s">
        <v>9</v>
      </c>
    </row>
    <row r="128" spans="1:9">
      <c r="A128">
        <v>0.375</v>
      </c>
      <c r="B128">
        <v>0.5</v>
      </c>
      <c r="C128">
        <v>0</v>
      </c>
      <c r="D128">
        <v>-0.89115183538320097</v>
      </c>
      <c r="E128">
        <f>296</f>
        <v>296</v>
      </c>
      <c r="F128">
        <f t="shared" si="6"/>
        <v>1.6891891891891893E-4</v>
      </c>
      <c r="G128" t="str">
        <f t="shared" si="7"/>
        <v>yes</v>
      </c>
      <c r="H128" t="str">
        <f t="shared" si="5"/>
        <v>large</v>
      </c>
      <c r="I128" s="6" t="s">
        <v>9</v>
      </c>
    </row>
    <row r="129" spans="1:10">
      <c r="A129">
        <v>0.375</v>
      </c>
      <c r="B129">
        <v>0.6</v>
      </c>
      <c r="C129">
        <v>0</v>
      </c>
      <c r="D129">
        <v>-0.88756169096728499</v>
      </c>
      <c r="E129">
        <f>296</f>
        <v>296</v>
      </c>
      <c r="F129">
        <f t="shared" si="6"/>
        <v>1.6891891891891893E-4</v>
      </c>
      <c r="G129" t="str">
        <f t="shared" si="7"/>
        <v>yes</v>
      </c>
      <c r="H129" t="str">
        <f t="shared" si="5"/>
        <v>large</v>
      </c>
      <c r="I129" s="6" t="s">
        <v>9</v>
      </c>
    </row>
    <row r="130" spans="1:10">
      <c r="A130">
        <v>0.375</v>
      </c>
      <c r="B130">
        <v>0.7</v>
      </c>
      <c r="C130">
        <v>0</v>
      </c>
      <c r="D130">
        <v>-0.87769272640901896</v>
      </c>
      <c r="E130">
        <f>296</f>
        <v>296</v>
      </c>
      <c r="F130">
        <f t="shared" si="6"/>
        <v>1.6891891891891893E-4</v>
      </c>
      <c r="G130" t="str">
        <f t="shared" si="7"/>
        <v>yes</v>
      </c>
      <c r="H130" t="str">
        <f t="shared" si="5"/>
        <v>large</v>
      </c>
      <c r="I130" s="6" t="s">
        <v>9</v>
      </c>
    </row>
    <row r="131" spans="1:10">
      <c r="A131">
        <v>0.375</v>
      </c>
      <c r="B131">
        <v>0.8</v>
      </c>
      <c r="C131">
        <v>0</v>
      </c>
      <c r="D131">
        <v>-0.86771976663106498</v>
      </c>
      <c r="E131">
        <f>296</f>
        <v>296</v>
      </c>
      <c r="F131">
        <f t="shared" si="6"/>
        <v>1.6891891891891893E-4</v>
      </c>
      <c r="G131" t="str">
        <f t="shared" si="7"/>
        <v>yes</v>
      </c>
      <c r="H131" t="str">
        <f t="shared" si="5"/>
        <v>large</v>
      </c>
      <c r="I131" s="6" t="s">
        <v>9</v>
      </c>
    </row>
    <row r="132" spans="1:10">
      <c r="A132">
        <v>0.375</v>
      </c>
      <c r="B132">
        <v>0.9</v>
      </c>
      <c r="C132">
        <v>0</v>
      </c>
      <c r="D132">
        <v>-0.85336548455936301</v>
      </c>
      <c r="E132">
        <f>296</f>
        <v>296</v>
      </c>
      <c r="F132">
        <f t="shared" si="6"/>
        <v>1.6891891891891893E-4</v>
      </c>
      <c r="G132" t="str">
        <f t="shared" si="7"/>
        <v>yes</v>
      </c>
      <c r="H132" t="str">
        <f t="shared" si="5"/>
        <v>large</v>
      </c>
      <c r="I132" s="6" t="s">
        <v>9</v>
      </c>
    </row>
    <row r="133" spans="1:10">
      <c r="A133">
        <v>0.375</v>
      </c>
      <c r="B133">
        <v>1</v>
      </c>
      <c r="C133">
        <v>0</v>
      </c>
      <c r="D133">
        <v>-0.83501674611727705</v>
      </c>
      <c r="E133" s="22">
        <f>296</f>
        <v>296</v>
      </c>
      <c r="F133">
        <f t="shared" si="6"/>
        <v>1.6891891891891893E-4</v>
      </c>
      <c r="G133" t="str">
        <f t="shared" si="7"/>
        <v>yes</v>
      </c>
      <c r="H133" t="str">
        <f t="shared" si="5"/>
        <v>large</v>
      </c>
      <c r="I133" s="6" t="s">
        <v>9</v>
      </c>
    </row>
    <row r="134" spans="1:10">
      <c r="A134" s="7">
        <v>0.4375</v>
      </c>
      <c r="B134" s="20">
        <v>0</v>
      </c>
      <c r="C134" s="7">
        <v>0.54317030497029695</v>
      </c>
      <c r="D134" s="7">
        <v>-9.6153558634569803E-4</v>
      </c>
      <c r="E134">
        <f>296</f>
        <v>296</v>
      </c>
      <c r="F134" s="7">
        <f t="shared" si="6"/>
        <v>1.6891891891891893E-4</v>
      </c>
      <c r="G134" s="7" t="str">
        <f t="shared" si="7"/>
        <v>no</v>
      </c>
      <c r="H134" s="7" t="str">
        <f t="shared" si="5"/>
        <v>minimal effect</v>
      </c>
      <c r="I134" s="13" t="s">
        <v>10</v>
      </c>
      <c r="J134" s="7"/>
    </row>
    <row r="135" spans="1:10">
      <c r="A135">
        <v>0.4375</v>
      </c>
      <c r="B135" s="21">
        <v>0.1</v>
      </c>
      <c r="C135">
        <v>0.339896246795444</v>
      </c>
      <c r="D135">
        <v>-1.49976361301961E-3</v>
      </c>
      <c r="E135">
        <f>296</f>
        <v>296</v>
      </c>
      <c r="F135">
        <f t="shared" si="6"/>
        <v>1.6891891891891893E-4</v>
      </c>
      <c r="G135" t="str">
        <f t="shared" si="7"/>
        <v>no</v>
      </c>
      <c r="H135" t="str">
        <f t="shared" ref="H135:H198" si="8">IF(ABS(D135)&lt;0.11,"minimal effect",IF(ABS(D135)&lt;0.28,"small",IF(ABS(D135)&lt;0.43,"medium","large")))</f>
        <v>minimal effect</v>
      </c>
      <c r="I135" s="12" t="s">
        <v>10</v>
      </c>
    </row>
    <row r="136" spans="1:10">
      <c r="A136">
        <v>0.4375</v>
      </c>
      <c r="B136">
        <v>0.2</v>
      </c>
      <c r="C136">
        <v>0</v>
      </c>
      <c r="D136">
        <v>-0.27059134976690602</v>
      </c>
      <c r="E136">
        <f>296</f>
        <v>296</v>
      </c>
      <c r="F136">
        <f t="shared" ref="F136:F199" si="9">0.05/E136</f>
        <v>1.6891891891891893E-4</v>
      </c>
      <c r="G136" t="str">
        <f t="shared" ref="G136:G199" si="10">IF(C136&lt;F136,"yes","no")</f>
        <v>yes</v>
      </c>
      <c r="H136" t="str">
        <f t="shared" si="8"/>
        <v>small</v>
      </c>
      <c r="I136" s="12" t="s">
        <v>10</v>
      </c>
    </row>
    <row r="137" spans="1:10">
      <c r="A137">
        <v>0.4375</v>
      </c>
      <c r="B137">
        <v>0.3</v>
      </c>
      <c r="C137">
        <v>0</v>
      </c>
      <c r="D137">
        <v>-0.12946443466429</v>
      </c>
      <c r="E137">
        <f>296</f>
        <v>296</v>
      </c>
      <c r="F137">
        <f t="shared" si="9"/>
        <v>1.6891891891891893E-4</v>
      </c>
      <c r="G137" t="str">
        <f t="shared" si="10"/>
        <v>yes</v>
      </c>
      <c r="H137" t="str">
        <f t="shared" si="8"/>
        <v>small</v>
      </c>
      <c r="I137" s="12" t="s">
        <v>10</v>
      </c>
    </row>
    <row r="138" spans="1:10">
      <c r="A138">
        <v>0.4375</v>
      </c>
      <c r="B138">
        <v>0.4</v>
      </c>
      <c r="C138">
        <v>6.7068142255125897E-152</v>
      </c>
      <c r="D138">
        <v>-6.6133166346540803E-2</v>
      </c>
      <c r="E138">
        <f>296</f>
        <v>296</v>
      </c>
      <c r="F138">
        <f t="shared" si="9"/>
        <v>1.6891891891891893E-4</v>
      </c>
      <c r="G138" t="str">
        <f t="shared" si="10"/>
        <v>yes</v>
      </c>
      <c r="H138" t="str">
        <f t="shared" si="8"/>
        <v>minimal effect</v>
      </c>
      <c r="I138" s="12" t="s">
        <v>10</v>
      </c>
    </row>
    <row r="139" spans="1:10">
      <c r="A139">
        <v>0.5</v>
      </c>
      <c r="B139" s="21">
        <v>0</v>
      </c>
      <c r="C139">
        <v>0.30232833799387299</v>
      </c>
      <c r="D139">
        <v>1.5936964439682601E-3</v>
      </c>
      <c r="E139">
        <f>296</f>
        <v>296</v>
      </c>
      <c r="F139">
        <f t="shared" si="9"/>
        <v>1.6891891891891893E-4</v>
      </c>
      <c r="G139" t="str">
        <f t="shared" si="10"/>
        <v>no</v>
      </c>
      <c r="H139" t="str">
        <f t="shared" si="8"/>
        <v>minimal effect</v>
      </c>
      <c r="I139" s="12" t="s">
        <v>10</v>
      </c>
    </row>
    <row r="140" spans="1:10">
      <c r="A140">
        <v>0.5</v>
      </c>
      <c r="B140" s="21">
        <v>0.1</v>
      </c>
      <c r="C140">
        <v>0.35741303495190802</v>
      </c>
      <c r="D140">
        <v>-1.4155494613368399E-3</v>
      </c>
      <c r="E140">
        <f>296</f>
        <v>296</v>
      </c>
      <c r="F140">
        <f t="shared" si="9"/>
        <v>1.6891891891891893E-4</v>
      </c>
      <c r="G140" t="str">
        <f t="shared" si="10"/>
        <v>no</v>
      </c>
      <c r="H140" t="str">
        <f t="shared" si="8"/>
        <v>minimal effect</v>
      </c>
      <c r="I140" s="12" t="s">
        <v>10</v>
      </c>
    </row>
    <row r="141" spans="1:10">
      <c r="A141">
        <v>0.5</v>
      </c>
      <c r="B141">
        <v>0.2</v>
      </c>
      <c r="C141">
        <v>0</v>
      </c>
      <c r="D141">
        <v>-0.152087184905566</v>
      </c>
      <c r="E141">
        <f>296</f>
        <v>296</v>
      </c>
      <c r="F141">
        <f t="shared" si="9"/>
        <v>1.6891891891891893E-4</v>
      </c>
      <c r="G141" t="str">
        <f t="shared" si="10"/>
        <v>yes</v>
      </c>
      <c r="H141" t="str">
        <f t="shared" si="8"/>
        <v>small</v>
      </c>
      <c r="I141" s="12" t="s">
        <v>10</v>
      </c>
    </row>
    <row r="142" spans="1:10">
      <c r="A142">
        <v>0.5</v>
      </c>
      <c r="B142">
        <v>0.3</v>
      </c>
      <c r="C142">
        <v>4.9742941078538103E-260</v>
      </c>
      <c r="D142">
        <v>-6.3371828784408404E-2</v>
      </c>
      <c r="E142">
        <f>296</f>
        <v>296</v>
      </c>
      <c r="F142">
        <f t="shared" si="9"/>
        <v>1.6891891891891893E-4</v>
      </c>
      <c r="G142" t="str">
        <f t="shared" si="10"/>
        <v>yes</v>
      </c>
      <c r="H142" t="str">
        <f t="shared" si="8"/>
        <v>minimal effect</v>
      </c>
      <c r="I142" s="12" t="s">
        <v>10</v>
      </c>
    </row>
    <row r="143" spans="1:10">
      <c r="A143">
        <v>0.5</v>
      </c>
      <c r="B143">
        <v>0.4</v>
      </c>
      <c r="C143">
        <v>2.3126794312911899E-6</v>
      </c>
      <c r="D143">
        <v>-1.0610137741655E-2</v>
      </c>
      <c r="E143">
        <f>296</f>
        <v>296</v>
      </c>
      <c r="F143">
        <f t="shared" si="9"/>
        <v>1.6891891891891893E-4</v>
      </c>
      <c r="G143" t="str">
        <f t="shared" si="10"/>
        <v>yes</v>
      </c>
      <c r="H143" t="str">
        <f t="shared" si="8"/>
        <v>minimal effect</v>
      </c>
      <c r="I143" s="12" t="s">
        <v>10</v>
      </c>
    </row>
    <row r="144" spans="1:10">
      <c r="A144">
        <v>0.5625</v>
      </c>
      <c r="B144" s="21">
        <v>0</v>
      </c>
      <c r="C144">
        <v>0.660905891500566</v>
      </c>
      <c r="D144">
        <v>6.7105072387540305E-4</v>
      </c>
      <c r="E144">
        <f>296</f>
        <v>296</v>
      </c>
      <c r="F144">
        <f t="shared" si="9"/>
        <v>1.6891891891891893E-4</v>
      </c>
      <c r="G144" t="str">
        <f t="shared" si="10"/>
        <v>no</v>
      </c>
      <c r="H144" t="str">
        <f t="shared" si="8"/>
        <v>minimal effect</v>
      </c>
      <c r="I144" s="12" t="s">
        <v>10</v>
      </c>
    </row>
    <row r="145" spans="1:9">
      <c r="A145">
        <v>0.5625</v>
      </c>
      <c r="B145" s="21">
        <v>0.1</v>
      </c>
      <c r="C145">
        <v>0.49554193937051699</v>
      </c>
      <c r="D145">
        <v>1.0384580697383899E-3</v>
      </c>
      <c r="E145">
        <f>296</f>
        <v>296</v>
      </c>
      <c r="F145">
        <f t="shared" si="9"/>
        <v>1.6891891891891893E-4</v>
      </c>
      <c r="G145" t="str">
        <f t="shared" si="10"/>
        <v>no</v>
      </c>
      <c r="H145" t="str">
        <f t="shared" si="8"/>
        <v>minimal effect</v>
      </c>
      <c r="I145" s="12" t="s">
        <v>10</v>
      </c>
    </row>
    <row r="146" spans="1:9">
      <c r="A146">
        <v>0.5625</v>
      </c>
      <c r="B146">
        <v>0.2</v>
      </c>
      <c r="C146">
        <v>5.5567560106971505E-144</v>
      </c>
      <c r="D146">
        <v>-5.33434723326318E-2</v>
      </c>
      <c r="E146">
        <f>296</f>
        <v>296</v>
      </c>
      <c r="F146">
        <f t="shared" si="9"/>
        <v>1.6891891891891893E-4</v>
      </c>
      <c r="G146" t="str">
        <f t="shared" si="10"/>
        <v>yes</v>
      </c>
      <c r="H146" t="str">
        <f t="shared" si="8"/>
        <v>minimal effect</v>
      </c>
      <c r="I146" s="12" t="s">
        <v>10</v>
      </c>
    </row>
    <row r="147" spans="1:9">
      <c r="A147">
        <v>0.5625</v>
      </c>
      <c r="B147">
        <v>0.3</v>
      </c>
      <c r="C147">
        <v>4.5172208577156E-33</v>
      </c>
      <c r="D147">
        <v>-2.1625136569924399E-2</v>
      </c>
      <c r="E147">
        <f>296</f>
        <v>296</v>
      </c>
      <c r="F147">
        <f t="shared" si="9"/>
        <v>1.6891891891891893E-4</v>
      </c>
      <c r="G147" t="str">
        <f t="shared" si="10"/>
        <v>yes</v>
      </c>
      <c r="H147" t="str">
        <f t="shared" si="8"/>
        <v>minimal effect</v>
      </c>
      <c r="I147" s="12" t="s">
        <v>10</v>
      </c>
    </row>
    <row r="148" spans="1:9">
      <c r="A148">
        <v>0.5625</v>
      </c>
      <c r="B148">
        <v>0.4</v>
      </c>
      <c r="C148">
        <v>5.60832105393246E-15</v>
      </c>
      <c r="D148">
        <v>1.6617125610705701E-2</v>
      </c>
      <c r="E148">
        <f>296</f>
        <v>296</v>
      </c>
      <c r="F148">
        <f t="shared" si="9"/>
        <v>1.6891891891891893E-4</v>
      </c>
      <c r="G148" t="str">
        <f t="shared" si="10"/>
        <v>yes</v>
      </c>
      <c r="H148" t="str">
        <f t="shared" si="8"/>
        <v>minimal effect</v>
      </c>
      <c r="I148" s="12" t="s">
        <v>10</v>
      </c>
    </row>
    <row r="149" spans="1:9">
      <c r="A149">
        <v>0.5625</v>
      </c>
      <c r="B149">
        <v>0.5</v>
      </c>
      <c r="C149">
        <v>6.8060484421310903E-8</v>
      </c>
      <c r="D149">
        <v>3.6200348915385497E-2</v>
      </c>
      <c r="E149">
        <f>296</f>
        <v>296</v>
      </c>
      <c r="F149">
        <f t="shared" si="9"/>
        <v>1.6891891891891893E-4</v>
      </c>
      <c r="G149" t="str">
        <f t="shared" si="10"/>
        <v>yes</v>
      </c>
      <c r="H149" t="str">
        <f t="shared" si="8"/>
        <v>minimal effect</v>
      </c>
      <c r="I149" s="12" t="s">
        <v>10</v>
      </c>
    </row>
    <row r="150" spans="1:9">
      <c r="A150">
        <v>0.625</v>
      </c>
      <c r="B150" s="21">
        <v>0</v>
      </c>
      <c r="C150">
        <v>0.94979568878034504</v>
      </c>
      <c r="D150">
        <v>-9.5854689268254798E-5</v>
      </c>
      <c r="E150">
        <f>296</f>
        <v>296</v>
      </c>
      <c r="F150">
        <f t="shared" si="9"/>
        <v>1.6891891891891893E-4</v>
      </c>
      <c r="G150" t="str">
        <f t="shared" si="10"/>
        <v>no</v>
      </c>
      <c r="H150" t="str">
        <f t="shared" si="8"/>
        <v>minimal effect</v>
      </c>
      <c r="I150" s="12" t="s">
        <v>10</v>
      </c>
    </row>
    <row r="151" spans="1:9">
      <c r="A151">
        <v>0.625</v>
      </c>
      <c r="B151" s="21">
        <v>0.1</v>
      </c>
      <c r="C151">
        <v>0.50690483618881799</v>
      </c>
      <c r="D151">
        <v>1.00671049354658E-3</v>
      </c>
      <c r="E151">
        <f>296</f>
        <v>296</v>
      </c>
      <c r="F151">
        <f t="shared" si="9"/>
        <v>1.6891891891891893E-4</v>
      </c>
      <c r="G151" t="str">
        <f t="shared" si="10"/>
        <v>no</v>
      </c>
      <c r="H151" t="str">
        <f t="shared" si="8"/>
        <v>minimal effect</v>
      </c>
      <c r="I151" s="12" t="s">
        <v>10</v>
      </c>
    </row>
    <row r="152" spans="1:9">
      <c r="A152">
        <v>0.625</v>
      </c>
      <c r="B152">
        <v>0.2</v>
      </c>
      <c r="C152">
        <v>5.3083830847405799E-3</v>
      </c>
      <c r="D152">
        <v>-6.0597443547070699E-3</v>
      </c>
      <c r="E152">
        <f>296</f>
        <v>296</v>
      </c>
      <c r="F152">
        <f t="shared" si="9"/>
        <v>1.6891891891891893E-4</v>
      </c>
      <c r="G152" t="str">
        <f t="shared" si="10"/>
        <v>no</v>
      </c>
      <c r="H152" t="str">
        <f t="shared" si="8"/>
        <v>minimal effect</v>
      </c>
      <c r="I152" s="12" t="s">
        <v>10</v>
      </c>
    </row>
    <row r="153" spans="1:9">
      <c r="A153">
        <v>0.625</v>
      </c>
      <c r="B153">
        <v>0.3</v>
      </c>
      <c r="C153">
        <v>5.26005815291976E-23</v>
      </c>
      <c r="D153">
        <v>-3.0559249446889501E-2</v>
      </c>
      <c r="E153">
        <f>296</f>
        <v>296</v>
      </c>
      <c r="F153">
        <f t="shared" si="9"/>
        <v>1.6891891891891893E-4</v>
      </c>
      <c r="G153" t="str">
        <f t="shared" si="10"/>
        <v>yes</v>
      </c>
      <c r="H153" t="str">
        <f t="shared" si="8"/>
        <v>minimal effect</v>
      </c>
      <c r="I153" s="12" t="s">
        <v>10</v>
      </c>
    </row>
    <row r="154" spans="1:9">
      <c r="A154">
        <v>0.625</v>
      </c>
      <c r="B154">
        <v>0.4</v>
      </c>
      <c r="C154">
        <v>1.1069905316541399E-34</v>
      </c>
      <c r="D154">
        <v>2.56459909987851E-2</v>
      </c>
      <c r="E154">
        <f>296</f>
        <v>296</v>
      </c>
      <c r="F154">
        <f t="shared" si="9"/>
        <v>1.6891891891891893E-4</v>
      </c>
      <c r="G154" t="str">
        <f t="shared" si="10"/>
        <v>yes</v>
      </c>
      <c r="H154" t="str">
        <f t="shared" si="8"/>
        <v>minimal effect</v>
      </c>
      <c r="I154" s="12" t="s">
        <v>10</v>
      </c>
    </row>
    <row r="155" spans="1:9">
      <c r="A155">
        <v>0.625</v>
      </c>
      <c r="B155">
        <v>0.5</v>
      </c>
      <c r="C155">
        <v>1.06137760251921E-34</v>
      </c>
      <c r="D155">
        <v>5.0626555287569298E-2</v>
      </c>
      <c r="E155">
        <f>296</f>
        <v>296</v>
      </c>
      <c r="F155">
        <f t="shared" si="9"/>
        <v>1.6891891891891893E-4</v>
      </c>
      <c r="G155" t="str">
        <f t="shared" si="10"/>
        <v>yes</v>
      </c>
      <c r="H155" t="str">
        <f t="shared" si="8"/>
        <v>minimal effect</v>
      </c>
      <c r="I155" s="12" t="s">
        <v>10</v>
      </c>
    </row>
    <row r="156" spans="1:9">
      <c r="A156">
        <v>0.375</v>
      </c>
      <c r="B156" s="21">
        <v>0</v>
      </c>
      <c r="C156">
        <v>0.133169322106795</v>
      </c>
      <c r="D156">
        <v>-7.5889491665747499E-3</v>
      </c>
      <c r="E156">
        <f>296</f>
        <v>296</v>
      </c>
      <c r="F156">
        <f t="shared" si="9"/>
        <v>1.6891891891891893E-4</v>
      </c>
      <c r="G156" t="str">
        <f t="shared" si="10"/>
        <v>no</v>
      </c>
      <c r="H156" t="str">
        <f t="shared" si="8"/>
        <v>minimal effect</v>
      </c>
      <c r="I156" s="12" t="s">
        <v>10</v>
      </c>
    </row>
    <row r="157" spans="1:9">
      <c r="A157">
        <v>0.375</v>
      </c>
      <c r="B157" s="21">
        <v>0.1</v>
      </c>
      <c r="C157">
        <v>0.80642861462411697</v>
      </c>
      <c r="D157">
        <v>-8.7054393793341203E-4</v>
      </c>
      <c r="E157">
        <f>296</f>
        <v>296</v>
      </c>
      <c r="F157">
        <f t="shared" si="9"/>
        <v>1.6891891891891893E-4</v>
      </c>
      <c r="G157" t="str">
        <f t="shared" si="10"/>
        <v>no</v>
      </c>
      <c r="H157" t="str">
        <f t="shared" si="8"/>
        <v>minimal effect</v>
      </c>
      <c r="I157" s="12" t="s">
        <v>10</v>
      </c>
    </row>
    <row r="158" spans="1:9">
      <c r="A158">
        <v>0.375</v>
      </c>
      <c r="B158">
        <v>0.2</v>
      </c>
      <c r="C158">
        <v>0.71205950793944195</v>
      </c>
      <c r="D158">
        <v>-7.4216270362797E-4</v>
      </c>
      <c r="E158">
        <f>296</f>
        <v>296</v>
      </c>
      <c r="F158">
        <f t="shared" si="9"/>
        <v>1.6891891891891893E-4</v>
      </c>
      <c r="G158" t="str">
        <f t="shared" si="10"/>
        <v>no</v>
      </c>
      <c r="H158" t="str">
        <f t="shared" si="8"/>
        <v>minimal effect</v>
      </c>
      <c r="I158" s="12" t="s">
        <v>10</v>
      </c>
    </row>
    <row r="159" spans="1:9">
      <c r="A159">
        <v>0.375</v>
      </c>
      <c r="B159">
        <v>0.3</v>
      </c>
      <c r="C159">
        <v>0</v>
      </c>
      <c r="D159">
        <v>-0.22991378415452901</v>
      </c>
      <c r="E159">
        <f>296</f>
        <v>296</v>
      </c>
      <c r="F159">
        <f t="shared" si="9"/>
        <v>1.6891891891891893E-4</v>
      </c>
      <c r="G159" t="str">
        <f t="shared" si="10"/>
        <v>yes</v>
      </c>
      <c r="H159" t="str">
        <f t="shared" si="8"/>
        <v>small</v>
      </c>
      <c r="I159" s="12" t="s">
        <v>10</v>
      </c>
    </row>
    <row r="160" spans="1:9">
      <c r="A160">
        <v>0.375</v>
      </c>
      <c r="B160">
        <v>0.4</v>
      </c>
      <c r="C160">
        <v>0</v>
      </c>
      <c r="D160">
        <v>-0.208827650169045</v>
      </c>
      <c r="E160" s="22">
        <f>296</f>
        <v>296</v>
      </c>
      <c r="F160">
        <f t="shared" si="9"/>
        <v>1.6891891891891893E-4</v>
      </c>
      <c r="G160" t="str">
        <f t="shared" si="10"/>
        <v>yes</v>
      </c>
      <c r="H160" t="str">
        <f t="shared" si="8"/>
        <v>small</v>
      </c>
      <c r="I160" s="12" t="s">
        <v>10</v>
      </c>
    </row>
    <row r="161" spans="1:10">
      <c r="A161" s="7">
        <v>0.4375</v>
      </c>
      <c r="B161" s="7">
        <v>0.2</v>
      </c>
      <c r="C161" s="7">
        <v>0</v>
      </c>
      <c r="D161" s="7">
        <v>0.50543638694099902</v>
      </c>
      <c r="E161">
        <f>296</f>
        <v>296</v>
      </c>
      <c r="F161" s="7">
        <f t="shared" si="9"/>
        <v>1.6891891891891893E-4</v>
      </c>
      <c r="G161" s="7" t="str">
        <f t="shared" si="10"/>
        <v>yes</v>
      </c>
      <c r="H161" s="7" t="str">
        <f t="shared" si="8"/>
        <v>large</v>
      </c>
      <c r="I161" s="15" t="s">
        <v>11</v>
      </c>
      <c r="J161" s="7"/>
    </row>
    <row r="162" spans="1:10">
      <c r="A162">
        <v>0.4375</v>
      </c>
      <c r="B162">
        <v>0.3</v>
      </c>
      <c r="C162">
        <v>5.4714917902196803E-37</v>
      </c>
      <c r="D162">
        <v>3.6653376903380198E-2</v>
      </c>
      <c r="E162">
        <f>296</f>
        <v>296</v>
      </c>
      <c r="F162">
        <f t="shared" si="9"/>
        <v>1.6891891891891893E-4</v>
      </c>
      <c r="G162" t="str">
        <f t="shared" si="10"/>
        <v>yes</v>
      </c>
      <c r="H162" t="str">
        <f t="shared" si="8"/>
        <v>minimal effect</v>
      </c>
      <c r="I162" s="14" t="s">
        <v>11</v>
      </c>
    </row>
    <row r="163" spans="1:10">
      <c r="A163">
        <v>0.4375</v>
      </c>
      <c r="B163">
        <v>0.4</v>
      </c>
      <c r="C163">
        <v>6.1770639699321997E-7</v>
      </c>
      <c r="D163">
        <v>1.24649961995617E-2</v>
      </c>
      <c r="E163">
        <f>296</f>
        <v>296</v>
      </c>
      <c r="F163">
        <f t="shared" si="9"/>
        <v>1.6891891891891893E-4</v>
      </c>
      <c r="G163" t="str">
        <f t="shared" si="10"/>
        <v>yes</v>
      </c>
      <c r="H163" t="str">
        <f t="shared" si="8"/>
        <v>minimal effect</v>
      </c>
      <c r="I163" s="14" t="s">
        <v>11</v>
      </c>
    </row>
    <row r="164" spans="1:10">
      <c r="A164">
        <v>0.4375</v>
      </c>
      <c r="B164">
        <v>0.5</v>
      </c>
      <c r="C164">
        <v>0.89480603651623702</v>
      </c>
      <c r="D164">
        <v>-2.9550281449552398E-4</v>
      </c>
      <c r="E164">
        <f>296</f>
        <v>296</v>
      </c>
      <c r="F164">
        <f t="shared" si="9"/>
        <v>1.6891891891891893E-4</v>
      </c>
      <c r="G164" t="str">
        <f t="shared" si="10"/>
        <v>no</v>
      </c>
      <c r="H164" t="str">
        <f t="shared" si="8"/>
        <v>minimal effect</v>
      </c>
      <c r="I164" s="14" t="s">
        <v>11</v>
      </c>
    </row>
    <row r="165" spans="1:10">
      <c r="A165">
        <v>0.4375</v>
      </c>
      <c r="B165">
        <v>0.6</v>
      </c>
      <c r="C165">
        <v>1.3944393135265099E-5</v>
      </c>
      <c r="D165">
        <v>-8.8830629019623908E-3</v>
      </c>
      <c r="E165">
        <f>296</f>
        <v>296</v>
      </c>
      <c r="F165">
        <f t="shared" si="9"/>
        <v>1.6891891891891893E-4</v>
      </c>
      <c r="G165" t="str">
        <f t="shared" si="10"/>
        <v>yes</v>
      </c>
      <c r="H165" t="str">
        <f t="shared" si="8"/>
        <v>minimal effect</v>
      </c>
      <c r="I165" s="14" t="s">
        <v>11</v>
      </c>
    </row>
    <row r="166" spans="1:10">
      <c r="A166">
        <v>0.4375</v>
      </c>
      <c r="B166">
        <v>0.7</v>
      </c>
      <c r="C166">
        <v>2.182450588877E-2</v>
      </c>
      <c r="D166">
        <v>-4.3332470649105701E-3</v>
      </c>
      <c r="E166">
        <f>296</f>
        <v>296</v>
      </c>
      <c r="F166">
        <f t="shared" si="9"/>
        <v>1.6891891891891893E-4</v>
      </c>
      <c r="G166" t="str">
        <f t="shared" si="10"/>
        <v>no</v>
      </c>
      <c r="H166" t="str">
        <f t="shared" si="8"/>
        <v>minimal effect</v>
      </c>
      <c r="I166" s="14" t="s">
        <v>11</v>
      </c>
    </row>
    <row r="167" spans="1:10">
      <c r="A167">
        <v>0.4375</v>
      </c>
      <c r="B167">
        <v>0.8</v>
      </c>
      <c r="C167">
        <v>0.994846556989888</v>
      </c>
      <c r="D167">
        <v>-1.14332189451286E-5</v>
      </c>
      <c r="E167">
        <f>296</f>
        <v>296</v>
      </c>
      <c r="F167">
        <f t="shared" si="9"/>
        <v>1.6891891891891893E-4</v>
      </c>
      <c r="G167" t="str">
        <f t="shared" si="10"/>
        <v>no</v>
      </c>
      <c r="H167" t="str">
        <f t="shared" si="8"/>
        <v>minimal effect</v>
      </c>
      <c r="I167" s="14" t="s">
        <v>11</v>
      </c>
    </row>
    <row r="168" spans="1:10">
      <c r="A168">
        <v>0.4375</v>
      </c>
      <c r="B168">
        <v>0.9</v>
      </c>
      <c r="C168">
        <v>0.335582247727717</v>
      </c>
      <c r="D168">
        <v>1.6049706222708801E-3</v>
      </c>
      <c r="E168">
        <f>296</f>
        <v>296</v>
      </c>
      <c r="F168">
        <f t="shared" si="9"/>
        <v>1.6891891891891893E-4</v>
      </c>
      <c r="G168" t="str">
        <f t="shared" si="10"/>
        <v>no</v>
      </c>
      <c r="H168" t="str">
        <f t="shared" si="8"/>
        <v>minimal effect</v>
      </c>
      <c r="I168" s="14" t="s">
        <v>11</v>
      </c>
    </row>
    <row r="169" spans="1:10">
      <c r="A169">
        <v>0.4375</v>
      </c>
      <c r="B169">
        <v>1</v>
      </c>
      <c r="C169">
        <v>1.24949428557596E-5</v>
      </c>
      <c r="D169">
        <v>6.9107816050960197E-3</v>
      </c>
      <c r="E169">
        <f>296</f>
        <v>296</v>
      </c>
      <c r="F169">
        <f t="shared" si="9"/>
        <v>1.6891891891891893E-4</v>
      </c>
      <c r="G169" t="str">
        <f t="shared" si="10"/>
        <v>yes</v>
      </c>
      <c r="H169" t="str">
        <f t="shared" si="8"/>
        <v>minimal effect</v>
      </c>
      <c r="I169" s="14" t="s">
        <v>11</v>
      </c>
    </row>
    <row r="170" spans="1:10">
      <c r="A170">
        <v>0.5</v>
      </c>
      <c r="B170">
        <v>0.2</v>
      </c>
      <c r="C170">
        <v>0</v>
      </c>
      <c r="D170">
        <v>0.53265388214225595</v>
      </c>
      <c r="E170">
        <f>296</f>
        <v>296</v>
      </c>
      <c r="F170">
        <f t="shared" si="9"/>
        <v>1.6891891891891893E-4</v>
      </c>
      <c r="G170" t="str">
        <f t="shared" si="10"/>
        <v>yes</v>
      </c>
      <c r="H170" t="str">
        <f t="shared" si="8"/>
        <v>large</v>
      </c>
      <c r="I170" s="14" t="s">
        <v>11</v>
      </c>
    </row>
    <row r="171" spans="1:10">
      <c r="A171">
        <v>0.5</v>
      </c>
      <c r="B171">
        <v>0.3</v>
      </c>
      <c r="C171">
        <v>6.1736502494652797E-28</v>
      </c>
      <c r="D171">
        <v>3.1052846146035099E-2</v>
      </c>
      <c r="E171">
        <f>296</f>
        <v>296</v>
      </c>
      <c r="F171">
        <f t="shared" si="9"/>
        <v>1.6891891891891893E-4</v>
      </c>
      <c r="G171" t="str">
        <f t="shared" si="10"/>
        <v>yes</v>
      </c>
      <c r="H171" t="str">
        <f t="shared" si="8"/>
        <v>minimal effect</v>
      </c>
      <c r="I171" s="14" t="s">
        <v>11</v>
      </c>
    </row>
    <row r="172" spans="1:10">
      <c r="A172">
        <v>0.5</v>
      </c>
      <c r="B172">
        <v>0.4</v>
      </c>
      <c r="C172">
        <v>6.6891654106892694E-5</v>
      </c>
      <c r="D172">
        <v>9.78820670293859E-3</v>
      </c>
      <c r="E172">
        <f>296</f>
        <v>296</v>
      </c>
      <c r="F172">
        <f t="shared" si="9"/>
        <v>1.6891891891891893E-4</v>
      </c>
      <c r="G172" t="str">
        <f t="shared" si="10"/>
        <v>yes</v>
      </c>
      <c r="H172" t="str">
        <f t="shared" si="8"/>
        <v>minimal effect</v>
      </c>
      <c r="I172" s="14" t="s">
        <v>11</v>
      </c>
    </row>
    <row r="173" spans="1:10">
      <c r="A173">
        <v>0.5</v>
      </c>
      <c r="B173">
        <v>0.5</v>
      </c>
      <c r="C173">
        <v>8.7139304088101801E-3</v>
      </c>
      <c r="D173">
        <v>5.7705649162261901E-3</v>
      </c>
      <c r="E173">
        <f>296</f>
        <v>296</v>
      </c>
      <c r="F173">
        <f t="shared" si="9"/>
        <v>1.6891891891891893E-4</v>
      </c>
      <c r="G173" t="str">
        <f t="shared" si="10"/>
        <v>no</v>
      </c>
      <c r="H173" t="str">
        <f t="shared" si="8"/>
        <v>minimal effect</v>
      </c>
      <c r="I173" s="14" t="s">
        <v>11</v>
      </c>
    </row>
    <row r="174" spans="1:10">
      <c r="A174">
        <v>0.5</v>
      </c>
      <c r="B174">
        <v>0.6</v>
      </c>
      <c r="C174">
        <v>1.8900757297869201E-3</v>
      </c>
      <c r="D174">
        <v>6.2492990655193901E-3</v>
      </c>
      <c r="E174">
        <f>296</f>
        <v>296</v>
      </c>
      <c r="F174">
        <f t="shared" si="9"/>
        <v>1.6891891891891893E-4</v>
      </c>
      <c r="G174" t="str">
        <f t="shared" si="10"/>
        <v>no</v>
      </c>
      <c r="H174" t="str">
        <f t="shared" si="8"/>
        <v>minimal effect</v>
      </c>
      <c r="I174" s="14" t="s">
        <v>11</v>
      </c>
    </row>
    <row r="175" spans="1:10">
      <c r="A175">
        <v>0.5</v>
      </c>
      <c r="B175">
        <v>0.7</v>
      </c>
      <c r="C175">
        <v>9.7455745315602693E-2</v>
      </c>
      <c r="D175">
        <v>3.0833020373392602E-3</v>
      </c>
      <c r="E175">
        <f>296</f>
        <v>296</v>
      </c>
      <c r="F175">
        <f t="shared" si="9"/>
        <v>1.6891891891891893E-4</v>
      </c>
      <c r="G175" t="str">
        <f t="shared" si="10"/>
        <v>no</v>
      </c>
      <c r="H175" t="str">
        <f t="shared" si="8"/>
        <v>minimal effect</v>
      </c>
      <c r="I175" s="14" t="s">
        <v>11</v>
      </c>
    </row>
    <row r="176" spans="1:10">
      <c r="A176">
        <v>0.5</v>
      </c>
      <c r="B176">
        <v>0.8</v>
      </c>
      <c r="C176">
        <v>0.16306758038435601</v>
      </c>
      <c r="D176">
        <v>2.4286507133520598E-3</v>
      </c>
      <c r="E176">
        <f>296</f>
        <v>296</v>
      </c>
      <c r="F176">
        <f t="shared" si="9"/>
        <v>1.6891891891891893E-4</v>
      </c>
      <c r="G176" t="str">
        <f t="shared" si="10"/>
        <v>no</v>
      </c>
      <c r="H176" t="str">
        <f t="shared" si="8"/>
        <v>minimal effect</v>
      </c>
      <c r="I176" s="14" t="s">
        <v>11</v>
      </c>
    </row>
    <row r="177" spans="1:9">
      <c r="A177">
        <v>0.5</v>
      </c>
      <c r="B177">
        <v>0.9</v>
      </c>
      <c r="C177">
        <v>2.0618408034592899E-2</v>
      </c>
      <c r="D177">
        <v>3.79761008980538E-3</v>
      </c>
      <c r="E177">
        <f>296</f>
        <v>296</v>
      </c>
      <c r="F177">
        <f t="shared" si="9"/>
        <v>1.6891891891891893E-4</v>
      </c>
      <c r="G177" t="str">
        <f t="shared" si="10"/>
        <v>no</v>
      </c>
      <c r="H177" t="str">
        <f t="shared" si="8"/>
        <v>minimal effect</v>
      </c>
      <c r="I177" s="14" t="s">
        <v>11</v>
      </c>
    </row>
    <row r="178" spans="1:9">
      <c r="A178">
        <v>0.5</v>
      </c>
      <c r="B178">
        <v>1</v>
      </c>
      <c r="C178">
        <v>6.6763595173475604E-2</v>
      </c>
      <c r="D178">
        <v>2.8537110758444801E-3</v>
      </c>
      <c r="E178">
        <f>296</f>
        <v>296</v>
      </c>
      <c r="F178">
        <f t="shared" si="9"/>
        <v>1.6891891891891893E-4</v>
      </c>
      <c r="G178" t="str">
        <f t="shared" si="10"/>
        <v>no</v>
      </c>
      <c r="H178" t="str">
        <f t="shared" si="8"/>
        <v>minimal effect</v>
      </c>
      <c r="I178" s="14" t="s">
        <v>11</v>
      </c>
    </row>
    <row r="179" spans="1:9">
      <c r="A179">
        <v>0.5625</v>
      </c>
      <c r="B179">
        <v>0.2</v>
      </c>
      <c r="C179">
        <v>0</v>
      </c>
      <c r="D179">
        <v>0.50681993603428099</v>
      </c>
      <c r="E179">
        <f>296</f>
        <v>296</v>
      </c>
      <c r="F179">
        <f t="shared" si="9"/>
        <v>1.6891891891891893E-4</v>
      </c>
      <c r="G179" t="str">
        <f t="shared" si="10"/>
        <v>yes</v>
      </c>
      <c r="H179" t="str">
        <f t="shared" si="8"/>
        <v>large</v>
      </c>
      <c r="I179" s="14" t="s">
        <v>11</v>
      </c>
    </row>
    <row r="180" spans="1:9">
      <c r="A180">
        <v>0.5625</v>
      </c>
      <c r="B180">
        <v>0.3</v>
      </c>
      <c r="C180">
        <v>7.26743085777348E-99</v>
      </c>
      <c r="D180">
        <v>5.8979455343149398E-2</v>
      </c>
      <c r="E180">
        <f>296</f>
        <v>296</v>
      </c>
      <c r="F180">
        <f t="shared" si="9"/>
        <v>1.6891891891891893E-4</v>
      </c>
      <c r="G180" t="str">
        <f t="shared" si="10"/>
        <v>yes</v>
      </c>
      <c r="H180" t="str">
        <f t="shared" si="8"/>
        <v>minimal effect</v>
      </c>
      <c r="I180" s="14" t="s">
        <v>11</v>
      </c>
    </row>
    <row r="181" spans="1:9">
      <c r="A181">
        <v>0.5625</v>
      </c>
      <c r="B181">
        <v>0.4</v>
      </c>
      <c r="C181">
        <v>3.8639301052564098E-44</v>
      </c>
      <c r="D181">
        <v>3.3766805183251002E-2</v>
      </c>
      <c r="E181">
        <f>296</f>
        <v>296</v>
      </c>
      <c r="F181">
        <f t="shared" si="9"/>
        <v>1.6891891891891893E-4</v>
      </c>
      <c r="G181" t="str">
        <f t="shared" si="10"/>
        <v>yes</v>
      </c>
      <c r="H181" t="str">
        <f t="shared" si="8"/>
        <v>minimal effect</v>
      </c>
      <c r="I181" s="14" t="s">
        <v>11</v>
      </c>
    </row>
    <row r="182" spans="1:9">
      <c r="A182">
        <v>0.5625</v>
      </c>
      <c r="B182">
        <v>0.5</v>
      </c>
      <c r="C182">
        <v>6.4715710005276802E-19</v>
      </c>
      <c r="D182">
        <v>1.93080012168243E-2</v>
      </c>
      <c r="E182">
        <f>296</f>
        <v>296</v>
      </c>
      <c r="F182">
        <f t="shared" si="9"/>
        <v>1.6891891891891893E-4</v>
      </c>
      <c r="G182" t="str">
        <f t="shared" si="10"/>
        <v>yes</v>
      </c>
      <c r="H182" t="str">
        <f t="shared" si="8"/>
        <v>minimal effect</v>
      </c>
      <c r="I182" s="14" t="s">
        <v>11</v>
      </c>
    </row>
    <row r="183" spans="1:9">
      <c r="A183">
        <v>0.5625</v>
      </c>
      <c r="B183">
        <v>0.6</v>
      </c>
      <c r="C183">
        <v>0.55137153096145297</v>
      </c>
      <c r="D183">
        <v>1.1811278565144201E-3</v>
      </c>
      <c r="E183">
        <f>296</f>
        <v>296</v>
      </c>
      <c r="F183">
        <f t="shared" si="9"/>
        <v>1.6891891891891893E-4</v>
      </c>
      <c r="G183" t="str">
        <f t="shared" si="10"/>
        <v>no</v>
      </c>
      <c r="H183" t="str">
        <f t="shared" si="8"/>
        <v>minimal effect</v>
      </c>
      <c r="I183" s="14" t="s">
        <v>11</v>
      </c>
    </row>
    <row r="184" spans="1:9">
      <c r="A184">
        <v>0.5625</v>
      </c>
      <c r="B184">
        <v>0.7</v>
      </c>
      <c r="C184">
        <v>0.69840535574951201</v>
      </c>
      <c r="D184">
        <v>-7.11524020774778E-4</v>
      </c>
      <c r="E184">
        <f>296</f>
        <v>296</v>
      </c>
      <c r="F184">
        <f t="shared" si="9"/>
        <v>1.6891891891891893E-4</v>
      </c>
      <c r="G184" t="str">
        <f t="shared" si="10"/>
        <v>no</v>
      </c>
      <c r="H184" t="str">
        <f t="shared" si="8"/>
        <v>minimal effect</v>
      </c>
      <c r="I184" s="14" t="s">
        <v>11</v>
      </c>
    </row>
    <row r="185" spans="1:9">
      <c r="A185">
        <v>0.5625</v>
      </c>
      <c r="B185">
        <v>0.8</v>
      </c>
      <c r="C185">
        <v>3.2862327243520502E-3</v>
      </c>
      <c r="D185">
        <v>5.0500768586797E-3</v>
      </c>
      <c r="E185">
        <f>296</f>
        <v>296</v>
      </c>
      <c r="F185">
        <f t="shared" si="9"/>
        <v>1.6891891891891893E-4</v>
      </c>
      <c r="G185" t="str">
        <f t="shared" si="10"/>
        <v>no</v>
      </c>
      <c r="H185" t="str">
        <f t="shared" si="8"/>
        <v>minimal effect</v>
      </c>
      <c r="I185" s="14" t="s">
        <v>11</v>
      </c>
    </row>
    <row r="186" spans="1:9">
      <c r="A186">
        <v>0.5625</v>
      </c>
      <c r="B186">
        <v>0.9</v>
      </c>
      <c r="C186">
        <v>6.5596154890210697E-5</v>
      </c>
      <c r="D186">
        <v>6.4651395310133496E-3</v>
      </c>
      <c r="E186">
        <f>296</f>
        <v>296</v>
      </c>
      <c r="F186">
        <f t="shared" si="9"/>
        <v>1.6891891891891893E-4</v>
      </c>
      <c r="G186" t="str">
        <f t="shared" si="10"/>
        <v>yes</v>
      </c>
      <c r="H186" t="str">
        <f t="shared" si="8"/>
        <v>minimal effect</v>
      </c>
      <c r="I186" s="14" t="s">
        <v>11</v>
      </c>
    </row>
    <row r="187" spans="1:9">
      <c r="A187">
        <v>0.5625</v>
      </c>
      <c r="B187">
        <v>1</v>
      </c>
      <c r="C187">
        <v>0.22044672415302299</v>
      </c>
      <c r="D187">
        <v>1.8834004173559999E-3</v>
      </c>
      <c r="E187">
        <f>296</f>
        <v>296</v>
      </c>
      <c r="F187">
        <f t="shared" si="9"/>
        <v>1.6891891891891893E-4</v>
      </c>
      <c r="G187" t="str">
        <f t="shared" si="10"/>
        <v>no</v>
      </c>
      <c r="H187" t="str">
        <f t="shared" si="8"/>
        <v>minimal effect</v>
      </c>
      <c r="I187" s="14" t="s">
        <v>11</v>
      </c>
    </row>
    <row r="188" spans="1:9">
      <c r="A188">
        <v>0.625</v>
      </c>
      <c r="B188">
        <v>0.2</v>
      </c>
      <c r="C188">
        <v>0</v>
      </c>
      <c r="D188">
        <v>0.42731625888064001</v>
      </c>
      <c r="E188">
        <f>296</f>
        <v>296</v>
      </c>
      <c r="F188">
        <f t="shared" si="9"/>
        <v>1.6891891891891893E-4</v>
      </c>
      <c r="G188" t="str">
        <f t="shared" si="10"/>
        <v>yes</v>
      </c>
      <c r="H188" t="str">
        <f t="shared" si="8"/>
        <v>medium</v>
      </c>
      <c r="I188" s="14" t="s">
        <v>11</v>
      </c>
    </row>
    <row r="189" spans="1:9">
      <c r="A189">
        <v>0.625</v>
      </c>
      <c r="B189">
        <v>0.3</v>
      </c>
      <c r="C189">
        <v>0</v>
      </c>
      <c r="D189">
        <v>0.364471362751284</v>
      </c>
      <c r="E189">
        <f>296</f>
        <v>296</v>
      </c>
      <c r="F189">
        <f t="shared" si="9"/>
        <v>1.6891891891891893E-4</v>
      </c>
      <c r="G189" t="str">
        <f t="shared" si="10"/>
        <v>yes</v>
      </c>
      <c r="H189" t="str">
        <f t="shared" si="8"/>
        <v>medium</v>
      </c>
      <c r="I189" s="14" t="s">
        <v>11</v>
      </c>
    </row>
    <row r="190" spans="1:9">
      <c r="A190">
        <v>0.625</v>
      </c>
      <c r="B190">
        <v>0.4</v>
      </c>
      <c r="C190">
        <v>2.65560091034449E-18</v>
      </c>
      <c r="D190">
        <v>2.0928609097844102E-2</v>
      </c>
      <c r="E190">
        <f>296</f>
        <v>296</v>
      </c>
      <c r="F190">
        <f t="shared" si="9"/>
        <v>1.6891891891891893E-4</v>
      </c>
      <c r="G190" t="str">
        <f t="shared" si="10"/>
        <v>yes</v>
      </c>
      <c r="H190" t="str">
        <f t="shared" si="8"/>
        <v>minimal effect</v>
      </c>
      <c r="I190" s="14" t="s">
        <v>11</v>
      </c>
    </row>
    <row r="191" spans="1:9">
      <c r="A191">
        <v>0.625</v>
      </c>
      <c r="B191">
        <v>0.5</v>
      </c>
      <c r="C191">
        <v>1.07191108558685E-8</v>
      </c>
      <c r="D191">
        <v>1.2286961431769401E-2</v>
      </c>
      <c r="E191">
        <f>296</f>
        <v>296</v>
      </c>
      <c r="F191">
        <f t="shared" si="9"/>
        <v>1.6891891891891893E-4</v>
      </c>
      <c r="G191" t="str">
        <f t="shared" si="10"/>
        <v>yes</v>
      </c>
      <c r="H191" t="str">
        <f t="shared" si="8"/>
        <v>minimal effect</v>
      </c>
      <c r="I191" s="14" t="s">
        <v>11</v>
      </c>
    </row>
    <row r="192" spans="1:9">
      <c r="A192">
        <v>0.625</v>
      </c>
      <c r="B192">
        <v>0.6</v>
      </c>
      <c r="C192">
        <v>2.5432540697378601E-6</v>
      </c>
      <c r="D192">
        <v>9.2293535357603693E-3</v>
      </c>
      <c r="E192">
        <f>296</f>
        <v>296</v>
      </c>
      <c r="F192">
        <f t="shared" si="9"/>
        <v>1.6891891891891893E-4</v>
      </c>
      <c r="G192" t="str">
        <f t="shared" si="10"/>
        <v>yes</v>
      </c>
      <c r="H192" t="str">
        <f t="shared" si="8"/>
        <v>minimal effect</v>
      </c>
      <c r="I192" s="14" t="s">
        <v>11</v>
      </c>
    </row>
    <row r="193" spans="1:9">
      <c r="A193">
        <v>0.625</v>
      </c>
      <c r="B193">
        <v>0.7</v>
      </c>
      <c r="C193">
        <v>1.5206946087563401E-11</v>
      </c>
      <c r="D193">
        <v>1.22522061292931E-2</v>
      </c>
      <c r="E193">
        <f>296</f>
        <v>296</v>
      </c>
      <c r="F193">
        <f t="shared" si="9"/>
        <v>1.6891891891891893E-4</v>
      </c>
      <c r="G193" t="str">
        <f t="shared" si="10"/>
        <v>yes</v>
      </c>
      <c r="H193" t="str">
        <f t="shared" si="8"/>
        <v>minimal effect</v>
      </c>
      <c r="I193" s="14" t="s">
        <v>11</v>
      </c>
    </row>
    <row r="194" spans="1:9">
      <c r="A194">
        <v>0.625</v>
      </c>
      <c r="B194">
        <v>0.8</v>
      </c>
      <c r="C194">
        <v>0.31992009569030899</v>
      </c>
      <c r="D194">
        <v>-1.6901360132320999E-3</v>
      </c>
      <c r="E194">
        <f>296</f>
        <v>296</v>
      </c>
      <c r="F194">
        <f t="shared" si="9"/>
        <v>1.6891891891891893E-4</v>
      </c>
      <c r="G194" t="str">
        <f t="shared" si="10"/>
        <v>no</v>
      </c>
      <c r="H194" t="str">
        <f t="shared" si="8"/>
        <v>minimal effect</v>
      </c>
      <c r="I194" s="14" t="s">
        <v>11</v>
      </c>
    </row>
    <row r="195" spans="1:9">
      <c r="A195">
        <v>0.625</v>
      </c>
      <c r="B195">
        <v>0.9</v>
      </c>
      <c r="C195">
        <v>0.537667618979351</v>
      </c>
      <c r="D195">
        <v>9.8706000222234698E-4</v>
      </c>
      <c r="E195">
        <f>296</f>
        <v>296</v>
      </c>
      <c r="F195">
        <f t="shared" si="9"/>
        <v>1.6891891891891893E-4</v>
      </c>
      <c r="G195" t="str">
        <f t="shared" si="10"/>
        <v>no</v>
      </c>
      <c r="H195" t="str">
        <f t="shared" si="8"/>
        <v>minimal effect</v>
      </c>
      <c r="I195" s="14" t="s">
        <v>11</v>
      </c>
    </row>
    <row r="196" spans="1:9">
      <c r="A196">
        <v>0.625</v>
      </c>
      <c r="B196">
        <v>1</v>
      </c>
      <c r="C196">
        <v>7.0074438297630095E-4</v>
      </c>
      <c r="D196">
        <v>5.15121522846831E-3</v>
      </c>
      <c r="E196">
        <f>296</f>
        <v>296</v>
      </c>
      <c r="F196">
        <f t="shared" si="9"/>
        <v>1.6891891891891893E-4</v>
      </c>
      <c r="G196" t="str">
        <f t="shared" si="10"/>
        <v>no</v>
      </c>
      <c r="H196" t="str">
        <f t="shared" si="8"/>
        <v>minimal effect</v>
      </c>
      <c r="I196" s="14" t="s">
        <v>11</v>
      </c>
    </row>
    <row r="197" spans="1:9">
      <c r="A197">
        <v>0.3125</v>
      </c>
      <c r="B197">
        <v>0.3</v>
      </c>
      <c r="C197">
        <v>4.3151023889732501E-63</v>
      </c>
      <c r="D197">
        <v>5.0935794208337902E-2</v>
      </c>
      <c r="E197">
        <f>296</f>
        <v>296</v>
      </c>
      <c r="F197">
        <f t="shared" si="9"/>
        <v>1.6891891891891893E-4</v>
      </c>
      <c r="G197" t="str">
        <f t="shared" si="10"/>
        <v>yes</v>
      </c>
      <c r="H197" t="str">
        <f t="shared" si="8"/>
        <v>minimal effect</v>
      </c>
      <c r="I197" s="14" t="s">
        <v>11</v>
      </c>
    </row>
    <row r="198" spans="1:9">
      <c r="A198">
        <v>0.3125</v>
      </c>
      <c r="B198">
        <v>0.4</v>
      </c>
      <c r="C198">
        <v>6.8570350184439004E-14</v>
      </c>
      <c r="D198">
        <v>1.9519408557057801E-2</v>
      </c>
      <c r="E198">
        <f>296</f>
        <v>296</v>
      </c>
      <c r="F198">
        <f t="shared" si="9"/>
        <v>1.6891891891891893E-4</v>
      </c>
      <c r="G198" t="str">
        <f t="shared" si="10"/>
        <v>yes</v>
      </c>
      <c r="H198" t="str">
        <f t="shared" si="8"/>
        <v>minimal effect</v>
      </c>
      <c r="I198" s="14" t="s">
        <v>11</v>
      </c>
    </row>
    <row r="199" spans="1:9">
      <c r="A199">
        <v>0.3125</v>
      </c>
      <c r="B199">
        <v>0.5</v>
      </c>
      <c r="C199">
        <v>7.49097689447919E-4</v>
      </c>
      <c r="D199">
        <v>7.8655353370022697E-3</v>
      </c>
      <c r="E199">
        <f>296</f>
        <v>296</v>
      </c>
      <c r="F199">
        <f t="shared" si="9"/>
        <v>1.6891891891891893E-4</v>
      </c>
      <c r="G199" t="str">
        <f t="shared" si="10"/>
        <v>no</v>
      </c>
      <c r="H199" t="str">
        <f t="shared" ref="H199:H262" si="11">IF(ABS(D199)&lt;0.11,"minimal effect",IF(ABS(D199)&lt;0.28,"small",IF(ABS(D199)&lt;0.43,"medium","large")))</f>
        <v>minimal effect</v>
      </c>
      <c r="I199" s="14" t="s">
        <v>11</v>
      </c>
    </row>
    <row r="200" spans="1:9">
      <c r="A200">
        <v>0.3125</v>
      </c>
      <c r="B200">
        <v>0.6</v>
      </c>
      <c r="C200">
        <v>4.65508244455912E-4</v>
      </c>
      <c r="D200">
        <v>7.4618286360191499E-3</v>
      </c>
      <c r="E200">
        <f>296</f>
        <v>296</v>
      </c>
      <c r="F200">
        <f t="shared" ref="F200:F263" si="12">0.05/E200</f>
        <v>1.6891891891891893E-4</v>
      </c>
      <c r="G200" t="str">
        <f t="shared" ref="G200:G263" si="13">IF(C200&lt;F200,"yes","no")</f>
        <v>no</v>
      </c>
      <c r="H200" t="str">
        <f t="shared" si="11"/>
        <v>minimal effect</v>
      </c>
      <c r="I200" s="14" t="s">
        <v>11</v>
      </c>
    </row>
    <row r="201" spans="1:9">
      <c r="A201">
        <v>0.3125</v>
      </c>
      <c r="B201">
        <v>0.7</v>
      </c>
      <c r="C201">
        <v>9.6977585372888808E-3</v>
      </c>
      <c r="D201">
        <v>5.1004098363230397E-3</v>
      </c>
      <c r="E201">
        <f>296</f>
        <v>296</v>
      </c>
      <c r="F201">
        <f t="shared" si="12"/>
        <v>1.6891891891891893E-4</v>
      </c>
      <c r="G201" t="str">
        <f t="shared" si="13"/>
        <v>no</v>
      </c>
      <c r="H201" t="str">
        <f t="shared" si="11"/>
        <v>minimal effect</v>
      </c>
      <c r="I201" s="14" t="s">
        <v>11</v>
      </c>
    </row>
    <row r="202" spans="1:9">
      <c r="A202">
        <v>0.3125</v>
      </c>
      <c r="B202">
        <v>0.8</v>
      </c>
      <c r="C202">
        <v>2.7201127632864801E-2</v>
      </c>
      <c r="D202">
        <v>4.0733402703140697E-3</v>
      </c>
      <c r="E202">
        <f>296</f>
        <v>296</v>
      </c>
      <c r="F202">
        <f t="shared" si="12"/>
        <v>1.6891891891891893E-4</v>
      </c>
      <c r="G202" t="str">
        <f t="shared" si="13"/>
        <v>no</v>
      </c>
      <c r="H202" t="str">
        <f t="shared" si="11"/>
        <v>minimal effect</v>
      </c>
      <c r="I202" s="14" t="s">
        <v>11</v>
      </c>
    </row>
    <row r="203" spans="1:9">
      <c r="A203">
        <v>0.3125</v>
      </c>
      <c r="B203">
        <v>0.9</v>
      </c>
      <c r="C203">
        <v>0.21598844769514</v>
      </c>
      <c r="D203">
        <v>2.15408069337543E-3</v>
      </c>
      <c r="E203">
        <f>296</f>
        <v>296</v>
      </c>
      <c r="F203">
        <f t="shared" si="12"/>
        <v>1.6891891891891893E-4</v>
      </c>
      <c r="G203" t="str">
        <f t="shared" si="13"/>
        <v>no</v>
      </c>
      <c r="H203" t="str">
        <f t="shared" si="11"/>
        <v>minimal effect</v>
      </c>
      <c r="I203" s="14" t="s">
        <v>11</v>
      </c>
    </row>
    <row r="204" spans="1:9">
      <c r="A204">
        <v>0.3125</v>
      </c>
      <c r="B204">
        <v>1</v>
      </c>
      <c r="C204">
        <v>0.90562022513747298</v>
      </c>
      <c r="D204">
        <v>-1.9569785195479701E-4</v>
      </c>
      <c r="E204">
        <f>296</f>
        <v>296</v>
      </c>
      <c r="F204">
        <f t="shared" si="12"/>
        <v>1.6891891891891893E-4</v>
      </c>
      <c r="G204" t="str">
        <f t="shared" si="13"/>
        <v>no</v>
      </c>
      <c r="H204" t="str">
        <f t="shared" si="11"/>
        <v>minimal effect</v>
      </c>
      <c r="I204" s="14" t="s">
        <v>11</v>
      </c>
    </row>
    <row r="205" spans="1:9">
      <c r="A205">
        <v>0.375</v>
      </c>
      <c r="B205">
        <v>0.3</v>
      </c>
      <c r="C205">
        <v>5.7621371719310702E-75</v>
      </c>
      <c r="D205">
        <v>5.3866161389862499E-2</v>
      </c>
      <c r="E205">
        <f>296</f>
        <v>296</v>
      </c>
      <c r="F205">
        <f t="shared" si="12"/>
        <v>1.6891891891891893E-4</v>
      </c>
      <c r="G205" t="str">
        <f t="shared" si="13"/>
        <v>yes</v>
      </c>
      <c r="H205" t="str">
        <f t="shared" si="11"/>
        <v>minimal effect</v>
      </c>
      <c r="I205" s="14" t="s">
        <v>11</v>
      </c>
    </row>
    <row r="206" spans="1:9">
      <c r="A206">
        <v>0.375</v>
      </c>
      <c r="B206">
        <v>0.4</v>
      </c>
      <c r="C206">
        <v>5.4397211655207198E-11</v>
      </c>
      <c r="D206">
        <v>1.6722937520063499E-2</v>
      </c>
      <c r="E206">
        <f>296</f>
        <v>296</v>
      </c>
      <c r="F206">
        <f t="shared" si="12"/>
        <v>1.6891891891891893E-4</v>
      </c>
      <c r="G206" t="str">
        <f t="shared" si="13"/>
        <v>yes</v>
      </c>
      <c r="H206" t="str">
        <f t="shared" si="11"/>
        <v>minimal effect</v>
      </c>
      <c r="I206" s="14" t="s">
        <v>11</v>
      </c>
    </row>
    <row r="207" spans="1:9">
      <c r="A207">
        <v>0.375</v>
      </c>
      <c r="B207">
        <v>0.5</v>
      </c>
      <c r="C207">
        <v>2.7730349772382901E-4</v>
      </c>
      <c r="D207">
        <v>8.2961305866000607E-3</v>
      </c>
      <c r="E207">
        <f>296</f>
        <v>296</v>
      </c>
      <c r="F207">
        <f t="shared" si="12"/>
        <v>1.6891891891891893E-4</v>
      </c>
      <c r="G207" t="str">
        <f t="shared" si="13"/>
        <v>no</v>
      </c>
      <c r="H207" t="str">
        <f t="shared" si="11"/>
        <v>minimal effect</v>
      </c>
      <c r="I207" s="14" t="s">
        <v>11</v>
      </c>
    </row>
    <row r="208" spans="1:9">
      <c r="A208">
        <v>0.375</v>
      </c>
      <c r="B208">
        <v>0.6</v>
      </c>
      <c r="C208">
        <v>3.8586426727371801E-5</v>
      </c>
      <c r="D208">
        <v>8.5732136176600408E-3</v>
      </c>
      <c r="E208">
        <f>296</f>
        <v>296</v>
      </c>
      <c r="F208">
        <f t="shared" si="12"/>
        <v>1.6891891891891893E-4</v>
      </c>
      <c r="G208" t="str">
        <f t="shared" si="13"/>
        <v>yes</v>
      </c>
      <c r="H208" t="str">
        <f t="shared" si="11"/>
        <v>minimal effect</v>
      </c>
      <c r="I208" s="14" t="s">
        <v>11</v>
      </c>
    </row>
    <row r="209" spans="1:9">
      <c r="A209">
        <v>0.375</v>
      </c>
      <c r="B209">
        <v>0.7</v>
      </c>
      <c r="C209">
        <v>1.88786074952832E-4</v>
      </c>
      <c r="D209">
        <v>-7.1938449392199696E-3</v>
      </c>
      <c r="E209">
        <f>296</f>
        <v>296</v>
      </c>
      <c r="F209">
        <f t="shared" si="12"/>
        <v>1.6891891891891893E-4</v>
      </c>
      <c r="G209" t="str">
        <f t="shared" si="13"/>
        <v>no</v>
      </c>
      <c r="H209" t="str">
        <f t="shared" si="11"/>
        <v>minimal effect</v>
      </c>
      <c r="I209" s="14" t="s">
        <v>11</v>
      </c>
    </row>
    <row r="210" spans="1:9">
      <c r="A210">
        <v>0.375</v>
      </c>
      <c r="B210">
        <v>0.8</v>
      </c>
      <c r="C210">
        <v>8.6525940532673502E-3</v>
      </c>
      <c r="D210">
        <v>4.7330829559230599E-3</v>
      </c>
      <c r="E210">
        <f>296</f>
        <v>296</v>
      </c>
      <c r="F210">
        <f t="shared" si="12"/>
        <v>1.6891891891891893E-4</v>
      </c>
      <c r="G210" t="str">
        <f t="shared" si="13"/>
        <v>no</v>
      </c>
      <c r="H210" t="str">
        <f t="shared" si="11"/>
        <v>minimal effect</v>
      </c>
      <c r="I210" s="14" t="s">
        <v>11</v>
      </c>
    </row>
    <row r="211" spans="1:9">
      <c r="A211">
        <v>0.375</v>
      </c>
      <c r="B211">
        <v>0.9</v>
      </c>
      <c r="C211">
        <v>0.93762175241321899</v>
      </c>
      <c r="D211">
        <v>-1.3309894130584301E-4</v>
      </c>
      <c r="E211">
        <f>296</f>
        <v>296</v>
      </c>
      <c r="F211">
        <f t="shared" si="12"/>
        <v>1.6891891891891893E-4</v>
      </c>
      <c r="G211" t="str">
        <f t="shared" si="13"/>
        <v>no</v>
      </c>
      <c r="H211" t="str">
        <f t="shared" si="11"/>
        <v>minimal effect</v>
      </c>
      <c r="I211" s="14" t="s">
        <v>11</v>
      </c>
    </row>
    <row r="212" spans="1:9">
      <c r="A212">
        <v>0.375</v>
      </c>
      <c r="B212">
        <v>1</v>
      </c>
      <c r="C212">
        <v>4.2098134009038897E-11</v>
      </c>
      <c r="D212">
        <v>-1.0635443235171601E-2</v>
      </c>
      <c r="E212">
        <f>296</f>
        <v>296</v>
      </c>
      <c r="F212">
        <f t="shared" si="12"/>
        <v>1.6891891891891893E-4</v>
      </c>
      <c r="G212" t="str">
        <f t="shared" si="13"/>
        <v>yes</v>
      </c>
      <c r="H212" t="str">
        <f t="shared" si="11"/>
        <v>minimal effect</v>
      </c>
      <c r="I212" s="14" t="s">
        <v>11</v>
      </c>
    </row>
    <row r="213" spans="1:9">
      <c r="A213">
        <v>0.125</v>
      </c>
      <c r="B213">
        <v>0.4</v>
      </c>
      <c r="C213">
        <v>6.8776030245260001E-26</v>
      </c>
      <c r="D213">
        <v>4.8269748163649998E-2</v>
      </c>
      <c r="E213">
        <f>296</f>
        <v>296</v>
      </c>
      <c r="F213">
        <f t="shared" si="12"/>
        <v>1.6891891891891893E-4</v>
      </c>
      <c r="G213" t="str">
        <f t="shared" si="13"/>
        <v>yes</v>
      </c>
      <c r="H213" t="str">
        <f t="shared" si="11"/>
        <v>minimal effect</v>
      </c>
      <c r="I213" s="14" t="s">
        <v>11</v>
      </c>
    </row>
    <row r="214" spans="1:9">
      <c r="A214">
        <v>0.125</v>
      </c>
      <c r="B214">
        <v>0.5</v>
      </c>
      <c r="C214">
        <v>0.67590497906073499</v>
      </c>
      <c r="D214">
        <v>1.0786655223443799E-3</v>
      </c>
      <c r="E214">
        <f>296</f>
        <v>296</v>
      </c>
      <c r="F214">
        <f t="shared" si="12"/>
        <v>1.6891891891891893E-4</v>
      </c>
      <c r="G214" t="str">
        <f t="shared" si="13"/>
        <v>no</v>
      </c>
      <c r="H214" t="str">
        <f t="shared" si="11"/>
        <v>minimal effect</v>
      </c>
      <c r="I214" s="14" t="s">
        <v>11</v>
      </c>
    </row>
    <row r="215" spans="1:9">
      <c r="A215">
        <v>0.125</v>
      </c>
      <c r="B215">
        <v>0.6</v>
      </c>
      <c r="C215">
        <v>1.2755320213990299E-3</v>
      </c>
      <c r="D215">
        <v>-7.5880428337813796E-3</v>
      </c>
      <c r="E215">
        <f>296</f>
        <v>296</v>
      </c>
      <c r="F215">
        <f t="shared" si="12"/>
        <v>1.6891891891891893E-4</v>
      </c>
      <c r="G215" t="str">
        <f t="shared" si="13"/>
        <v>no</v>
      </c>
      <c r="H215" t="str">
        <f t="shared" si="11"/>
        <v>minimal effect</v>
      </c>
      <c r="I215" s="14" t="s">
        <v>11</v>
      </c>
    </row>
    <row r="216" spans="1:9">
      <c r="A216">
        <v>0.125</v>
      </c>
      <c r="B216">
        <v>0.7</v>
      </c>
      <c r="C216">
        <v>0.97820544879043303</v>
      </c>
      <c r="D216">
        <v>-5.9570774203385897E-5</v>
      </c>
      <c r="E216">
        <f>296</f>
        <v>296</v>
      </c>
      <c r="F216">
        <f t="shared" si="12"/>
        <v>1.6891891891891893E-4</v>
      </c>
      <c r="G216" t="str">
        <f t="shared" si="13"/>
        <v>no</v>
      </c>
      <c r="H216" t="str">
        <f t="shared" si="11"/>
        <v>minimal effect</v>
      </c>
      <c r="I216" s="14" t="s">
        <v>11</v>
      </c>
    </row>
    <row r="217" spans="1:9">
      <c r="A217">
        <v>0.125</v>
      </c>
      <c r="B217">
        <v>0.8</v>
      </c>
      <c r="C217">
        <v>7.3763621583212797E-3</v>
      </c>
      <c r="D217">
        <v>-5.4575673852137897E-3</v>
      </c>
      <c r="E217">
        <f>296</f>
        <v>296</v>
      </c>
      <c r="F217">
        <f t="shared" si="12"/>
        <v>1.6891891891891893E-4</v>
      </c>
      <c r="G217" t="str">
        <f t="shared" si="13"/>
        <v>no</v>
      </c>
      <c r="H217" t="str">
        <f t="shared" si="11"/>
        <v>minimal effect</v>
      </c>
      <c r="I217" s="14" t="s">
        <v>11</v>
      </c>
    </row>
    <row r="218" spans="1:9">
      <c r="A218">
        <v>0.125</v>
      </c>
      <c r="B218">
        <v>0.9</v>
      </c>
      <c r="C218">
        <v>1.40757105019522E-3</v>
      </c>
      <c r="D218">
        <v>6.1291521451756698E-3</v>
      </c>
      <c r="E218">
        <f>296</f>
        <v>296</v>
      </c>
      <c r="F218">
        <f t="shared" si="12"/>
        <v>1.6891891891891893E-4</v>
      </c>
      <c r="G218" t="str">
        <f t="shared" si="13"/>
        <v>no</v>
      </c>
      <c r="H218" t="str">
        <f t="shared" si="11"/>
        <v>minimal effect</v>
      </c>
      <c r="I218" s="14" t="s">
        <v>11</v>
      </c>
    </row>
    <row r="219" spans="1:9">
      <c r="A219">
        <v>0.125</v>
      </c>
      <c r="B219">
        <v>1</v>
      </c>
      <c r="C219">
        <v>5.4851268007437802E-4</v>
      </c>
      <c r="D219">
        <v>6.3035757040702601E-3</v>
      </c>
      <c r="E219">
        <f>296</f>
        <v>296</v>
      </c>
      <c r="F219">
        <f t="shared" si="12"/>
        <v>1.6891891891891893E-4</v>
      </c>
      <c r="G219" t="str">
        <f t="shared" si="13"/>
        <v>no</v>
      </c>
      <c r="H219" t="str">
        <f t="shared" si="11"/>
        <v>minimal effect</v>
      </c>
      <c r="I219" s="14" t="s">
        <v>11</v>
      </c>
    </row>
    <row r="220" spans="1:9">
      <c r="A220">
        <v>0.1875</v>
      </c>
      <c r="B220">
        <v>0.4</v>
      </c>
      <c r="C220">
        <v>2.46074330892879E-4</v>
      </c>
      <c r="D220">
        <v>1.0141250431620201E-2</v>
      </c>
      <c r="E220">
        <f>296</f>
        <v>296</v>
      </c>
      <c r="F220">
        <f t="shared" si="12"/>
        <v>1.6891891891891893E-4</v>
      </c>
      <c r="G220" t="str">
        <f t="shared" si="13"/>
        <v>no</v>
      </c>
      <c r="H220" t="str">
        <f t="shared" si="11"/>
        <v>minimal effect</v>
      </c>
      <c r="I220" s="14" t="s">
        <v>11</v>
      </c>
    </row>
    <row r="221" spans="1:9">
      <c r="A221">
        <v>0.1875</v>
      </c>
      <c r="B221">
        <v>0.5</v>
      </c>
      <c r="C221">
        <v>1.7064596951041E-9</v>
      </c>
      <c r="D221">
        <v>1.4926754573384901E-2</v>
      </c>
      <c r="E221">
        <f>296</f>
        <v>296</v>
      </c>
      <c r="F221">
        <f t="shared" si="12"/>
        <v>1.6891891891891893E-4</v>
      </c>
      <c r="G221" t="str">
        <f t="shared" si="13"/>
        <v>yes</v>
      </c>
      <c r="H221" t="str">
        <f t="shared" si="11"/>
        <v>minimal effect</v>
      </c>
      <c r="I221" s="14" t="s">
        <v>11</v>
      </c>
    </row>
    <row r="222" spans="1:9">
      <c r="A222">
        <v>0.1875</v>
      </c>
      <c r="B222">
        <v>0.6</v>
      </c>
      <c r="C222">
        <v>0.91351884194989796</v>
      </c>
      <c r="D222">
        <v>2.45218921027542E-4</v>
      </c>
      <c r="E222">
        <f>296</f>
        <v>296</v>
      </c>
      <c r="F222">
        <f t="shared" si="12"/>
        <v>1.6891891891891893E-4</v>
      </c>
      <c r="G222" t="str">
        <f t="shared" si="13"/>
        <v>no</v>
      </c>
      <c r="H222" t="str">
        <f t="shared" si="11"/>
        <v>minimal effect</v>
      </c>
      <c r="I222" s="14" t="s">
        <v>11</v>
      </c>
    </row>
    <row r="223" spans="1:9">
      <c r="A223">
        <v>0.1875</v>
      </c>
      <c r="B223">
        <v>0.7</v>
      </c>
      <c r="C223">
        <v>8.0651521934871993E-3</v>
      </c>
      <c r="D223">
        <v>-5.5478489609057198E-3</v>
      </c>
      <c r="E223">
        <f>296</f>
        <v>296</v>
      </c>
      <c r="F223">
        <f t="shared" si="12"/>
        <v>1.6891891891891893E-4</v>
      </c>
      <c r="G223" t="str">
        <f t="shared" si="13"/>
        <v>no</v>
      </c>
      <c r="H223" t="str">
        <f t="shared" si="11"/>
        <v>minimal effect</v>
      </c>
      <c r="I223" s="14" t="s">
        <v>11</v>
      </c>
    </row>
    <row r="224" spans="1:9">
      <c r="A224">
        <v>0.1875</v>
      </c>
      <c r="B224">
        <v>0.8</v>
      </c>
      <c r="C224">
        <v>0.481115395297674</v>
      </c>
      <c r="D224">
        <v>1.37920062119333E-3</v>
      </c>
      <c r="E224">
        <f>296</f>
        <v>296</v>
      </c>
      <c r="F224">
        <f t="shared" si="12"/>
        <v>1.6891891891891893E-4</v>
      </c>
      <c r="G224" t="str">
        <f t="shared" si="13"/>
        <v>no</v>
      </c>
      <c r="H224" t="str">
        <f t="shared" si="11"/>
        <v>minimal effect</v>
      </c>
      <c r="I224" s="14" t="s">
        <v>11</v>
      </c>
    </row>
    <row r="225" spans="1:10">
      <c r="A225">
        <v>0.1875</v>
      </c>
      <c r="B225">
        <v>0.9</v>
      </c>
      <c r="C225">
        <v>6.8884718912844102E-3</v>
      </c>
      <c r="D225">
        <v>-4.9871444359864004E-3</v>
      </c>
      <c r="E225">
        <f>296</f>
        <v>296</v>
      </c>
      <c r="F225">
        <f t="shared" si="12"/>
        <v>1.6891891891891893E-4</v>
      </c>
      <c r="G225" t="str">
        <f t="shared" si="13"/>
        <v>no</v>
      </c>
      <c r="H225" t="str">
        <f t="shared" si="11"/>
        <v>minimal effect</v>
      </c>
      <c r="I225" s="14" t="s">
        <v>11</v>
      </c>
    </row>
    <row r="226" spans="1:10">
      <c r="A226">
        <v>0.1875</v>
      </c>
      <c r="B226">
        <v>1</v>
      </c>
      <c r="C226">
        <v>3.3443825206692498E-3</v>
      </c>
      <c r="D226">
        <v>5.1419693366648702E-3</v>
      </c>
      <c r="E226">
        <f>296</f>
        <v>296</v>
      </c>
      <c r="F226">
        <f t="shared" si="12"/>
        <v>1.6891891891891893E-4</v>
      </c>
      <c r="G226" t="str">
        <f t="shared" si="13"/>
        <v>no</v>
      </c>
      <c r="H226" t="str">
        <f t="shared" si="11"/>
        <v>minimal effect</v>
      </c>
      <c r="I226" s="14" t="s">
        <v>11</v>
      </c>
    </row>
    <row r="227" spans="1:10">
      <c r="A227">
        <v>0.25</v>
      </c>
      <c r="B227">
        <v>0.4</v>
      </c>
      <c r="C227">
        <v>2.55677431574528E-5</v>
      </c>
      <c r="D227">
        <v>1.12944375394763E-2</v>
      </c>
      <c r="E227">
        <f>296</f>
        <v>296</v>
      </c>
      <c r="F227">
        <f t="shared" si="12"/>
        <v>1.6891891891891893E-4</v>
      </c>
      <c r="G227" t="str">
        <f t="shared" si="13"/>
        <v>yes</v>
      </c>
      <c r="H227" t="str">
        <f t="shared" si="11"/>
        <v>minimal effect</v>
      </c>
      <c r="I227" s="14" t="s">
        <v>11</v>
      </c>
    </row>
    <row r="228" spans="1:10">
      <c r="A228">
        <v>0.25</v>
      </c>
      <c r="B228">
        <v>0.5</v>
      </c>
      <c r="C228">
        <v>0.54240955116429102</v>
      </c>
      <c r="D228">
        <v>1.4616081328780301E-3</v>
      </c>
      <c r="E228">
        <f>296</f>
        <v>296</v>
      </c>
      <c r="F228">
        <f t="shared" si="12"/>
        <v>1.6891891891891893E-4</v>
      </c>
      <c r="G228" t="str">
        <f t="shared" si="13"/>
        <v>no</v>
      </c>
      <c r="H228" t="str">
        <f t="shared" si="11"/>
        <v>minimal effect</v>
      </c>
      <c r="I228" s="14" t="s">
        <v>11</v>
      </c>
    </row>
    <row r="229" spans="1:10">
      <c r="A229">
        <v>0.25</v>
      </c>
      <c r="B229">
        <v>0.6</v>
      </c>
      <c r="C229">
        <v>0.15754229610808401</v>
      </c>
      <c r="D229">
        <v>-3.0952400303352699E-3</v>
      </c>
      <c r="E229">
        <f>296</f>
        <v>296</v>
      </c>
      <c r="F229">
        <f t="shared" si="12"/>
        <v>1.6891891891891893E-4</v>
      </c>
      <c r="G229" t="str">
        <f t="shared" si="13"/>
        <v>no</v>
      </c>
      <c r="H229" t="str">
        <f t="shared" si="11"/>
        <v>minimal effect</v>
      </c>
      <c r="I229" s="14" t="s">
        <v>11</v>
      </c>
    </row>
    <row r="230" spans="1:10">
      <c r="A230">
        <v>0.25</v>
      </c>
      <c r="B230">
        <v>0.7</v>
      </c>
      <c r="C230">
        <v>6.9081444160507704E-4</v>
      </c>
      <c r="D230">
        <v>-6.8822009534577899E-3</v>
      </c>
      <c r="E230">
        <f>296</f>
        <v>296</v>
      </c>
      <c r="F230">
        <f t="shared" si="12"/>
        <v>1.6891891891891893E-4</v>
      </c>
      <c r="G230" t="str">
        <f t="shared" si="13"/>
        <v>no</v>
      </c>
      <c r="H230" t="str">
        <f t="shared" si="11"/>
        <v>minimal effect</v>
      </c>
      <c r="I230" s="14" t="s">
        <v>11</v>
      </c>
    </row>
    <row r="231" spans="1:10">
      <c r="A231">
        <v>0.25</v>
      </c>
      <c r="B231">
        <v>0.8</v>
      </c>
      <c r="C231">
        <v>5.0830980299198002E-10</v>
      </c>
      <c r="D231">
        <v>-1.1775066801763E-2</v>
      </c>
      <c r="E231">
        <f>296</f>
        <v>296</v>
      </c>
      <c r="F231">
        <f t="shared" si="12"/>
        <v>1.6891891891891893E-4</v>
      </c>
      <c r="G231" t="str">
        <f t="shared" si="13"/>
        <v>yes</v>
      </c>
      <c r="H231" t="str">
        <f t="shared" si="11"/>
        <v>minimal effect</v>
      </c>
      <c r="I231" s="14" t="s">
        <v>11</v>
      </c>
    </row>
    <row r="232" spans="1:10">
      <c r="A232">
        <v>0.25</v>
      </c>
      <c r="B232">
        <v>0.9</v>
      </c>
      <c r="C232">
        <v>2.34931837552791E-5</v>
      </c>
      <c r="D232">
        <v>7.5702279730467097E-3</v>
      </c>
      <c r="E232">
        <f>296</f>
        <v>296</v>
      </c>
      <c r="F232">
        <f t="shared" si="12"/>
        <v>1.6891891891891893E-4</v>
      </c>
      <c r="G232" t="str">
        <f t="shared" si="13"/>
        <v>yes</v>
      </c>
      <c r="H232" t="str">
        <f t="shared" si="11"/>
        <v>minimal effect</v>
      </c>
      <c r="I232" s="14" t="s">
        <v>11</v>
      </c>
    </row>
    <row r="233" spans="1:10">
      <c r="A233">
        <v>0.25</v>
      </c>
      <c r="B233">
        <v>1</v>
      </c>
      <c r="C233">
        <v>1.6274032606294999E-6</v>
      </c>
      <c r="D233">
        <v>8.1320262652626908E-3</v>
      </c>
      <c r="E233" s="22">
        <f>296</f>
        <v>296</v>
      </c>
      <c r="F233">
        <f t="shared" si="12"/>
        <v>1.6891891891891893E-4</v>
      </c>
      <c r="G233" t="str">
        <f t="shared" si="13"/>
        <v>yes</v>
      </c>
      <c r="H233" t="str">
        <f t="shared" si="11"/>
        <v>minimal effect</v>
      </c>
      <c r="I233" s="14" t="s">
        <v>11</v>
      </c>
    </row>
    <row r="234" spans="1:10">
      <c r="A234" s="7">
        <v>0.125</v>
      </c>
      <c r="B234" s="7">
        <v>1E-4</v>
      </c>
      <c r="C234" s="7">
        <v>0.494151652535538</v>
      </c>
      <c r="D234" s="7">
        <v>1.1443820575144099E-3</v>
      </c>
      <c r="E234">
        <f>296</f>
        <v>296</v>
      </c>
      <c r="F234" s="7">
        <f t="shared" si="12"/>
        <v>1.6891891891891893E-4</v>
      </c>
      <c r="G234" s="7" t="str">
        <f t="shared" si="13"/>
        <v>no</v>
      </c>
      <c r="H234" s="7" t="str">
        <f t="shared" si="11"/>
        <v>minimal effect</v>
      </c>
      <c r="I234" s="17" t="s">
        <v>13</v>
      </c>
      <c r="J234" s="7"/>
    </row>
    <row r="235" spans="1:10">
      <c r="A235">
        <v>0.1875</v>
      </c>
      <c r="B235">
        <v>1E-4</v>
      </c>
      <c r="C235">
        <v>5.7697899138811398E-43</v>
      </c>
      <c r="D235">
        <v>2.6078068254691899E-2</v>
      </c>
      <c r="E235">
        <f>296</f>
        <v>296</v>
      </c>
      <c r="F235">
        <f t="shared" si="12"/>
        <v>1.6891891891891893E-4</v>
      </c>
      <c r="G235" t="str">
        <f t="shared" si="13"/>
        <v>yes</v>
      </c>
      <c r="H235" t="str">
        <f t="shared" si="11"/>
        <v>minimal effect</v>
      </c>
      <c r="I235" s="16" t="s">
        <v>13</v>
      </c>
    </row>
    <row r="236" spans="1:10">
      <c r="A236">
        <v>0.1875</v>
      </c>
      <c r="B236">
        <v>5.0000000000000001E-4</v>
      </c>
      <c r="C236">
        <v>4.1563055556611699E-4</v>
      </c>
      <c r="D236">
        <v>9.5299159710417296E-3</v>
      </c>
      <c r="E236">
        <f>296</f>
        <v>296</v>
      </c>
      <c r="F236">
        <f t="shared" si="12"/>
        <v>1.6891891891891893E-4</v>
      </c>
      <c r="G236" t="str">
        <f t="shared" si="13"/>
        <v>no</v>
      </c>
      <c r="H236" t="str">
        <f t="shared" si="11"/>
        <v>minimal effect</v>
      </c>
      <c r="I236" s="16" t="s">
        <v>13</v>
      </c>
    </row>
    <row r="237" spans="1:10">
      <c r="A237">
        <v>0.25</v>
      </c>
      <c r="B237">
        <v>1E-4</v>
      </c>
      <c r="C237">
        <v>4.1419693013202602E-212</v>
      </c>
      <c r="D237">
        <v>-6.1949779354649598E-2</v>
      </c>
      <c r="E237">
        <f>296</f>
        <v>296</v>
      </c>
      <c r="F237">
        <f t="shared" si="12"/>
        <v>1.6891891891891893E-4</v>
      </c>
      <c r="G237" t="str">
        <f t="shared" si="13"/>
        <v>yes</v>
      </c>
      <c r="H237" t="str">
        <f t="shared" si="11"/>
        <v>minimal effect</v>
      </c>
      <c r="I237" s="16" t="s">
        <v>13</v>
      </c>
    </row>
    <row r="238" spans="1:10">
      <c r="A238">
        <v>0.25</v>
      </c>
      <c r="B238">
        <v>5.0000000000000001E-4</v>
      </c>
      <c r="C238">
        <v>7.24214597394531E-3</v>
      </c>
      <c r="D238">
        <v>-5.5418934162480803E-3</v>
      </c>
      <c r="E238">
        <f>296</f>
        <v>296</v>
      </c>
      <c r="F238">
        <f t="shared" si="12"/>
        <v>1.6891891891891893E-4</v>
      </c>
      <c r="G238" t="str">
        <f t="shared" si="13"/>
        <v>no</v>
      </c>
      <c r="H238" t="str">
        <f t="shared" si="11"/>
        <v>minimal effect</v>
      </c>
      <c r="I238" s="16" t="s">
        <v>13</v>
      </c>
    </row>
    <row r="239" spans="1:10">
      <c r="A239">
        <v>0.25</v>
      </c>
      <c r="B239">
        <v>1E-3</v>
      </c>
      <c r="C239">
        <v>8.7836033273747203E-3</v>
      </c>
      <c r="D239">
        <v>1.2798258217531401E-2</v>
      </c>
      <c r="E239">
        <f>296</f>
        <v>296</v>
      </c>
      <c r="F239">
        <f t="shared" si="12"/>
        <v>1.6891891891891893E-4</v>
      </c>
      <c r="G239" t="str">
        <f t="shared" si="13"/>
        <v>no</v>
      </c>
      <c r="H239" t="str">
        <f t="shared" si="11"/>
        <v>minimal effect</v>
      </c>
      <c r="I239" s="16" t="s">
        <v>13</v>
      </c>
    </row>
    <row r="240" spans="1:10">
      <c r="A240">
        <v>0.3125</v>
      </c>
      <c r="B240">
        <v>1E-4</v>
      </c>
      <c r="C240">
        <v>7.1575860692804E-2</v>
      </c>
      <c r="D240">
        <v>3.6258482889265E-3</v>
      </c>
      <c r="E240">
        <f>296</f>
        <v>296</v>
      </c>
      <c r="F240">
        <f t="shared" si="12"/>
        <v>1.6891891891891893E-4</v>
      </c>
      <c r="G240" t="str">
        <f t="shared" si="13"/>
        <v>no</v>
      </c>
      <c r="H240" t="str">
        <f t="shared" si="11"/>
        <v>minimal effect</v>
      </c>
      <c r="I240" s="16" t="s">
        <v>13</v>
      </c>
    </row>
    <row r="241" spans="1:9">
      <c r="A241">
        <v>0.3125</v>
      </c>
      <c r="B241">
        <v>5.0000000000000001E-4</v>
      </c>
      <c r="C241">
        <v>0.80504827455869099</v>
      </c>
      <c r="D241">
        <v>5.0873345360035805E-4</v>
      </c>
      <c r="E241">
        <f>296</f>
        <v>296</v>
      </c>
      <c r="F241">
        <f t="shared" si="12"/>
        <v>1.6891891891891893E-4</v>
      </c>
      <c r="G241" t="str">
        <f t="shared" si="13"/>
        <v>no</v>
      </c>
      <c r="H241" t="str">
        <f t="shared" si="11"/>
        <v>minimal effect</v>
      </c>
      <c r="I241" s="16" t="s">
        <v>13</v>
      </c>
    </row>
    <row r="242" spans="1:9">
      <c r="A242">
        <v>0.3125</v>
      </c>
      <c r="B242">
        <v>1E-3</v>
      </c>
      <c r="C242">
        <v>6.77200321738806E-10</v>
      </c>
      <c r="D242">
        <v>1.3332150514399999E-2</v>
      </c>
      <c r="E242">
        <f>296</f>
        <v>296</v>
      </c>
      <c r="F242">
        <f t="shared" si="12"/>
        <v>1.6891891891891893E-4</v>
      </c>
      <c r="G242" t="str">
        <f t="shared" si="13"/>
        <v>yes</v>
      </c>
      <c r="H242" t="str">
        <f t="shared" si="11"/>
        <v>minimal effect</v>
      </c>
      <c r="I242" s="16" t="s">
        <v>13</v>
      </c>
    </row>
    <row r="243" spans="1:9">
      <c r="A243">
        <v>0.375</v>
      </c>
      <c r="B243">
        <v>1E-4</v>
      </c>
      <c r="C243">
        <v>3.9882814640899799E-92</v>
      </c>
      <c r="D243">
        <v>-4.1374717004485702E-2</v>
      </c>
      <c r="E243">
        <f>296</f>
        <v>296</v>
      </c>
      <c r="F243">
        <f t="shared" si="12"/>
        <v>1.6891891891891893E-4</v>
      </c>
      <c r="G243" t="str">
        <f t="shared" si="13"/>
        <v>yes</v>
      </c>
      <c r="H243" t="str">
        <f t="shared" si="11"/>
        <v>minimal effect</v>
      </c>
      <c r="I243" s="16" t="s">
        <v>13</v>
      </c>
    </row>
    <row r="244" spans="1:9">
      <c r="A244">
        <v>0.375</v>
      </c>
      <c r="B244">
        <v>5.0000000000000001E-4</v>
      </c>
      <c r="C244">
        <v>0.66056616228832299</v>
      </c>
      <c r="D244">
        <v>9.0619999944590397E-4</v>
      </c>
      <c r="E244">
        <f>296</f>
        <v>296</v>
      </c>
      <c r="F244">
        <f t="shared" si="12"/>
        <v>1.6891891891891893E-4</v>
      </c>
      <c r="G244" t="str">
        <f t="shared" si="13"/>
        <v>no</v>
      </c>
      <c r="H244" t="str">
        <f t="shared" si="11"/>
        <v>minimal effect</v>
      </c>
      <c r="I244" s="16" t="s">
        <v>13</v>
      </c>
    </row>
    <row r="245" spans="1:9">
      <c r="A245">
        <v>0.375</v>
      </c>
      <c r="B245">
        <v>1E-3</v>
      </c>
      <c r="C245">
        <v>2.9595958358953098E-6</v>
      </c>
      <c r="D245">
        <v>9.7532634175223499E-3</v>
      </c>
      <c r="E245">
        <f>296</f>
        <v>296</v>
      </c>
      <c r="F245">
        <f t="shared" si="12"/>
        <v>1.6891891891891893E-4</v>
      </c>
      <c r="G245" t="str">
        <f t="shared" si="13"/>
        <v>yes</v>
      </c>
      <c r="H245" t="str">
        <f t="shared" si="11"/>
        <v>minimal effect</v>
      </c>
      <c r="I245" s="16" t="s">
        <v>13</v>
      </c>
    </row>
    <row r="246" spans="1:9">
      <c r="A246">
        <v>0.375</v>
      </c>
      <c r="B246">
        <v>5.0000000000000001E-3</v>
      </c>
      <c r="C246">
        <v>0.79950608204180496</v>
      </c>
      <c r="D246">
        <v>-9.0285159318261E-4</v>
      </c>
      <c r="E246">
        <f>296</f>
        <v>296</v>
      </c>
      <c r="F246">
        <f t="shared" si="12"/>
        <v>1.6891891891891893E-4</v>
      </c>
      <c r="G246" t="str">
        <f t="shared" si="13"/>
        <v>no</v>
      </c>
      <c r="H246" t="str">
        <f t="shared" si="11"/>
        <v>minimal effect</v>
      </c>
      <c r="I246" s="16" t="s">
        <v>13</v>
      </c>
    </row>
    <row r="247" spans="1:9">
      <c r="A247">
        <v>0.4375</v>
      </c>
      <c r="B247">
        <v>1E-4</v>
      </c>
      <c r="C247">
        <v>2.1048314815741101E-181</v>
      </c>
      <c r="D247">
        <v>5.8659001925488799E-2</v>
      </c>
      <c r="E247">
        <f>296</f>
        <v>296</v>
      </c>
      <c r="F247">
        <f t="shared" si="12"/>
        <v>1.6891891891891893E-4</v>
      </c>
      <c r="G247" t="str">
        <f t="shared" si="13"/>
        <v>yes</v>
      </c>
      <c r="H247" t="str">
        <f t="shared" si="11"/>
        <v>minimal effect</v>
      </c>
      <c r="I247" s="16" t="s">
        <v>13</v>
      </c>
    </row>
    <row r="248" spans="1:9">
      <c r="A248">
        <v>0.4375</v>
      </c>
      <c r="B248">
        <v>5.0000000000000001E-4</v>
      </c>
      <c r="C248">
        <v>5.0775334980924196E-29</v>
      </c>
      <c r="D248">
        <v>2.31657655330729E-2</v>
      </c>
      <c r="E248">
        <f>296</f>
        <v>296</v>
      </c>
      <c r="F248">
        <f t="shared" si="12"/>
        <v>1.6891891891891893E-4</v>
      </c>
      <c r="G248" t="str">
        <f t="shared" si="13"/>
        <v>yes</v>
      </c>
      <c r="H248" t="str">
        <f t="shared" si="11"/>
        <v>minimal effect</v>
      </c>
      <c r="I248" s="16" t="s">
        <v>13</v>
      </c>
    </row>
    <row r="249" spans="1:9">
      <c r="A249">
        <v>0.4375</v>
      </c>
      <c r="B249">
        <v>1E-3</v>
      </c>
      <c r="C249">
        <v>4.1179779747566603E-55</v>
      </c>
      <c r="D249">
        <v>3.2616901245677801E-2</v>
      </c>
      <c r="E249">
        <f>296</f>
        <v>296</v>
      </c>
      <c r="F249">
        <f t="shared" si="12"/>
        <v>1.6891891891891893E-4</v>
      </c>
      <c r="G249" t="str">
        <f t="shared" si="13"/>
        <v>yes</v>
      </c>
      <c r="H249" t="str">
        <f t="shared" si="11"/>
        <v>minimal effect</v>
      </c>
      <c r="I249" s="16" t="s">
        <v>13</v>
      </c>
    </row>
    <row r="250" spans="1:9">
      <c r="A250">
        <v>0.4375</v>
      </c>
      <c r="B250">
        <v>5.0000000000000001E-3</v>
      </c>
      <c r="C250">
        <v>8.0598048083166493E-5</v>
      </c>
      <c r="D250">
        <v>9.1764470542231302E-3</v>
      </c>
      <c r="E250">
        <f>296</f>
        <v>296</v>
      </c>
      <c r="F250">
        <f t="shared" si="12"/>
        <v>1.6891891891891893E-4</v>
      </c>
      <c r="G250" t="str">
        <f t="shared" si="13"/>
        <v>yes</v>
      </c>
      <c r="H250" t="str">
        <f t="shared" si="11"/>
        <v>minimal effect</v>
      </c>
      <c r="I250" s="16" t="s">
        <v>13</v>
      </c>
    </row>
    <row r="251" spans="1:9">
      <c r="A251">
        <v>0.4375</v>
      </c>
      <c r="B251">
        <v>0.01</v>
      </c>
      <c r="C251">
        <v>1.5173813311458299E-21</v>
      </c>
      <c r="D251">
        <v>2.7474905152214998E-2</v>
      </c>
      <c r="E251">
        <f>296</f>
        <v>296</v>
      </c>
      <c r="F251">
        <f t="shared" si="12"/>
        <v>1.6891891891891893E-4</v>
      </c>
      <c r="G251" t="str">
        <f t="shared" si="13"/>
        <v>yes</v>
      </c>
      <c r="H251" t="str">
        <f t="shared" si="11"/>
        <v>minimal effect</v>
      </c>
      <c r="I251" s="16" t="s">
        <v>13</v>
      </c>
    </row>
    <row r="252" spans="1:9">
      <c r="A252">
        <v>0.5</v>
      </c>
      <c r="B252">
        <v>1E-4</v>
      </c>
      <c r="C252">
        <v>3.6932588780742002E-3</v>
      </c>
      <c r="D252">
        <v>-5.9692175164064703E-3</v>
      </c>
      <c r="E252">
        <f>296</f>
        <v>296</v>
      </c>
      <c r="F252">
        <f t="shared" si="12"/>
        <v>1.6891891891891893E-4</v>
      </c>
      <c r="G252" t="str">
        <f t="shared" si="13"/>
        <v>no</v>
      </c>
      <c r="H252" t="str">
        <f t="shared" si="11"/>
        <v>minimal effect</v>
      </c>
      <c r="I252" s="16" t="s">
        <v>13</v>
      </c>
    </row>
    <row r="253" spans="1:9">
      <c r="A253">
        <v>0.5</v>
      </c>
      <c r="B253">
        <v>5.0000000000000001E-4</v>
      </c>
      <c r="C253">
        <v>5.4639414525959602E-5</v>
      </c>
      <c r="D253">
        <v>8.3773163287047207E-3</v>
      </c>
      <c r="E253">
        <f>296</f>
        <v>296</v>
      </c>
      <c r="F253">
        <f t="shared" si="12"/>
        <v>1.6891891891891893E-4</v>
      </c>
      <c r="G253" t="str">
        <f t="shared" si="13"/>
        <v>yes</v>
      </c>
      <c r="H253" t="str">
        <f t="shared" si="11"/>
        <v>minimal effect</v>
      </c>
      <c r="I253" s="16" t="s">
        <v>13</v>
      </c>
    </row>
    <row r="254" spans="1:9">
      <c r="A254">
        <v>0.5</v>
      </c>
      <c r="B254">
        <v>1E-3</v>
      </c>
      <c r="C254">
        <v>6.2773238032760403E-4</v>
      </c>
      <c r="D254">
        <v>-7.1403550180391302E-3</v>
      </c>
      <c r="E254">
        <f>296</f>
        <v>296</v>
      </c>
      <c r="F254">
        <f t="shared" si="12"/>
        <v>1.6891891891891893E-4</v>
      </c>
      <c r="G254" t="str">
        <f t="shared" si="13"/>
        <v>no</v>
      </c>
      <c r="H254" t="str">
        <f t="shared" si="11"/>
        <v>minimal effect</v>
      </c>
      <c r="I254" s="16" t="s">
        <v>13</v>
      </c>
    </row>
    <row r="255" spans="1:9">
      <c r="A255">
        <v>0.5</v>
      </c>
      <c r="B255">
        <v>5.0000000000000001E-3</v>
      </c>
      <c r="C255">
        <v>0.27076845597973898</v>
      </c>
      <c r="D255">
        <v>-2.3686993393878899E-3</v>
      </c>
      <c r="E255">
        <f>296</f>
        <v>296</v>
      </c>
      <c r="F255">
        <f t="shared" si="12"/>
        <v>1.6891891891891893E-4</v>
      </c>
      <c r="G255" t="str">
        <f t="shared" si="13"/>
        <v>no</v>
      </c>
      <c r="H255" t="str">
        <f t="shared" si="11"/>
        <v>minimal effect</v>
      </c>
      <c r="I255" s="16" t="s">
        <v>13</v>
      </c>
    </row>
    <row r="256" spans="1:9">
      <c r="A256">
        <v>0.5</v>
      </c>
      <c r="B256">
        <v>0.01</v>
      </c>
      <c r="C256">
        <v>7.5919092637032106E-15</v>
      </c>
      <c r="D256">
        <v>1.7123014543469001E-2</v>
      </c>
      <c r="E256">
        <f>296</f>
        <v>296</v>
      </c>
      <c r="F256">
        <f t="shared" si="12"/>
        <v>1.6891891891891893E-4</v>
      </c>
      <c r="G256" t="str">
        <f t="shared" si="13"/>
        <v>yes</v>
      </c>
      <c r="H256" t="str">
        <f t="shared" si="11"/>
        <v>minimal effect</v>
      </c>
      <c r="I256" s="16" t="s">
        <v>13</v>
      </c>
    </row>
    <row r="257" spans="1:10">
      <c r="A257">
        <v>0.5625</v>
      </c>
      <c r="B257">
        <v>1E-4</v>
      </c>
      <c r="C257">
        <v>1.8312431672489599E-11</v>
      </c>
      <c r="D257">
        <v>1.3830988610221201E-2</v>
      </c>
      <c r="E257">
        <f>296</f>
        <v>296</v>
      </c>
      <c r="F257">
        <f t="shared" si="12"/>
        <v>1.6891891891891893E-4</v>
      </c>
      <c r="G257" t="str">
        <f t="shared" si="13"/>
        <v>yes</v>
      </c>
      <c r="H257" t="str">
        <f t="shared" si="11"/>
        <v>minimal effect</v>
      </c>
      <c r="I257" s="16" t="s">
        <v>13</v>
      </c>
    </row>
    <row r="258" spans="1:10">
      <c r="A258">
        <v>0.5625</v>
      </c>
      <c r="B258">
        <v>5.0000000000000001E-4</v>
      </c>
      <c r="C258">
        <v>9.7714628960674996E-9</v>
      </c>
      <c r="D258">
        <v>-1.19293271748782E-2</v>
      </c>
      <c r="E258">
        <f>296</f>
        <v>296</v>
      </c>
      <c r="F258">
        <f t="shared" si="12"/>
        <v>1.6891891891891893E-4</v>
      </c>
      <c r="G258" t="str">
        <f t="shared" si="13"/>
        <v>yes</v>
      </c>
      <c r="H258" t="str">
        <f t="shared" si="11"/>
        <v>minimal effect</v>
      </c>
      <c r="I258" s="16" t="s">
        <v>13</v>
      </c>
    </row>
    <row r="259" spans="1:10">
      <c r="A259">
        <v>0.5625</v>
      </c>
      <c r="B259">
        <v>1E-3</v>
      </c>
      <c r="C259">
        <v>6.6313684561397596E-101</v>
      </c>
      <c r="D259">
        <v>4.4562273675358803E-2</v>
      </c>
      <c r="E259">
        <f>296</f>
        <v>296</v>
      </c>
      <c r="F259">
        <f t="shared" si="12"/>
        <v>1.6891891891891893E-4</v>
      </c>
      <c r="G259" t="str">
        <f t="shared" si="13"/>
        <v>yes</v>
      </c>
      <c r="H259" t="str">
        <f t="shared" si="11"/>
        <v>minimal effect</v>
      </c>
      <c r="I259" s="16" t="s">
        <v>13</v>
      </c>
    </row>
    <row r="260" spans="1:10">
      <c r="A260">
        <v>0.5625</v>
      </c>
      <c r="B260">
        <v>5.0000000000000001E-3</v>
      </c>
      <c r="C260">
        <v>3.7483421279801596E-49</v>
      </c>
      <c r="D260">
        <v>3.1451592583637701E-2</v>
      </c>
      <c r="E260">
        <f>296</f>
        <v>296</v>
      </c>
      <c r="F260">
        <f t="shared" si="12"/>
        <v>1.6891891891891893E-4</v>
      </c>
      <c r="G260" t="str">
        <f t="shared" si="13"/>
        <v>yes</v>
      </c>
      <c r="H260" t="str">
        <f t="shared" si="11"/>
        <v>minimal effect</v>
      </c>
      <c r="I260" s="16" t="s">
        <v>13</v>
      </c>
    </row>
    <row r="261" spans="1:10">
      <c r="A261">
        <v>0.5625</v>
      </c>
      <c r="B261">
        <v>0.01</v>
      </c>
      <c r="C261">
        <v>1.18813637803797E-4</v>
      </c>
      <c r="D261">
        <v>8.3523646167661392E-3</v>
      </c>
      <c r="E261">
        <f>296</f>
        <v>296</v>
      </c>
      <c r="F261">
        <f t="shared" si="12"/>
        <v>1.6891891891891893E-4</v>
      </c>
      <c r="G261" t="str">
        <f t="shared" si="13"/>
        <v>yes</v>
      </c>
      <c r="H261" t="str">
        <f t="shared" si="11"/>
        <v>minimal effect</v>
      </c>
      <c r="I261" s="16" t="s">
        <v>13</v>
      </c>
    </row>
    <row r="262" spans="1:10">
      <c r="A262">
        <v>0.5625</v>
      </c>
      <c r="B262">
        <v>0.05</v>
      </c>
      <c r="C262">
        <v>0.42295423544703997</v>
      </c>
      <c r="D262">
        <v>1.90327678743422E-3</v>
      </c>
      <c r="E262">
        <f>296</f>
        <v>296</v>
      </c>
      <c r="F262">
        <f t="shared" si="12"/>
        <v>1.6891891891891893E-4</v>
      </c>
      <c r="G262" t="str">
        <f t="shared" si="13"/>
        <v>no</v>
      </c>
      <c r="H262" t="str">
        <f t="shared" si="11"/>
        <v>minimal effect</v>
      </c>
      <c r="I262" s="16" t="s">
        <v>13</v>
      </c>
    </row>
    <row r="263" spans="1:10">
      <c r="A263">
        <v>0.5625</v>
      </c>
      <c r="B263">
        <v>0.1</v>
      </c>
      <c r="C263">
        <v>0.39668478796662598</v>
      </c>
      <c r="D263">
        <v>-2.8612202092080999E-3</v>
      </c>
      <c r="E263">
        <f>296</f>
        <v>296</v>
      </c>
      <c r="F263">
        <f t="shared" si="12"/>
        <v>1.6891891891891893E-4</v>
      </c>
      <c r="G263" t="str">
        <f t="shared" si="13"/>
        <v>no</v>
      </c>
      <c r="H263" t="str">
        <f t="shared" ref="H263:H297" si="14">IF(ABS(D263)&lt;0.11,"minimal effect",IF(ABS(D263)&lt;0.28,"small",IF(ABS(D263)&lt;0.43,"medium","large")))</f>
        <v>minimal effect</v>
      </c>
      <c r="I263" s="16" t="s">
        <v>13</v>
      </c>
    </row>
    <row r="264" spans="1:10">
      <c r="A264">
        <v>0.625</v>
      </c>
      <c r="B264">
        <v>1E-4</v>
      </c>
      <c r="C264">
        <v>7.0745776300608799E-4</v>
      </c>
      <c r="D264">
        <v>6.9962661029524201E-3</v>
      </c>
      <c r="E264">
        <f>296</f>
        <v>296</v>
      </c>
      <c r="F264">
        <f t="shared" ref="F264:F297" si="15">0.05/E264</f>
        <v>1.6891891891891893E-4</v>
      </c>
      <c r="G264" t="str">
        <f t="shared" ref="G264:G297" si="16">IF(C264&lt;F264,"yes","no")</f>
        <v>no</v>
      </c>
      <c r="H264" t="str">
        <f t="shared" si="14"/>
        <v>minimal effect</v>
      </c>
      <c r="I264" s="16" t="s">
        <v>13</v>
      </c>
    </row>
    <row r="265" spans="1:10">
      <c r="A265">
        <v>0.625</v>
      </c>
      <c r="B265">
        <v>5.0000000000000001E-4</v>
      </c>
      <c r="C265">
        <v>6.88199941533914E-12</v>
      </c>
      <c r="D265">
        <v>1.4280064664290401E-2</v>
      </c>
      <c r="E265">
        <f>296</f>
        <v>296</v>
      </c>
      <c r="F265">
        <f t="shared" si="15"/>
        <v>1.6891891891891893E-4</v>
      </c>
      <c r="G265" t="str">
        <f t="shared" si="16"/>
        <v>yes</v>
      </c>
      <c r="H265" t="str">
        <f t="shared" si="14"/>
        <v>minimal effect</v>
      </c>
      <c r="I265" s="16" t="s">
        <v>13</v>
      </c>
    </row>
    <row r="266" spans="1:10">
      <c r="A266">
        <v>0.625</v>
      </c>
      <c r="B266">
        <v>1E-3</v>
      </c>
      <c r="C266">
        <v>6.4969867085126099E-55</v>
      </c>
      <c r="D266">
        <v>3.2642587782376102E-2</v>
      </c>
      <c r="E266">
        <f>296</f>
        <v>296</v>
      </c>
      <c r="F266">
        <f t="shared" si="15"/>
        <v>1.6891891891891893E-4</v>
      </c>
      <c r="G266" t="str">
        <f t="shared" si="16"/>
        <v>yes</v>
      </c>
      <c r="H266" t="str">
        <f t="shared" si="14"/>
        <v>minimal effect</v>
      </c>
      <c r="I266" s="16" t="s">
        <v>13</v>
      </c>
    </row>
    <row r="267" spans="1:10">
      <c r="A267">
        <v>0.625</v>
      </c>
      <c r="B267">
        <v>5.0000000000000001E-3</v>
      </c>
      <c r="C267">
        <v>3.0867143798135401E-5</v>
      </c>
      <c r="D267">
        <v>8.8552397082602395E-3</v>
      </c>
      <c r="E267">
        <f>296</f>
        <v>296</v>
      </c>
      <c r="F267">
        <f t="shared" si="15"/>
        <v>1.6891891891891893E-4</v>
      </c>
      <c r="G267" t="str">
        <f t="shared" si="16"/>
        <v>yes</v>
      </c>
      <c r="H267" t="str">
        <f t="shared" si="14"/>
        <v>minimal effect</v>
      </c>
      <c r="I267" s="16" t="s">
        <v>13</v>
      </c>
    </row>
    <row r="268" spans="1:10">
      <c r="A268">
        <v>0.625</v>
      </c>
      <c r="B268">
        <v>0.01</v>
      </c>
      <c r="C268">
        <v>2.3704669956221698E-25</v>
      </c>
      <c r="D268">
        <v>2.2361150642419302E-2</v>
      </c>
      <c r="E268">
        <f>296</f>
        <v>296</v>
      </c>
      <c r="F268">
        <f t="shared" si="15"/>
        <v>1.6891891891891893E-4</v>
      </c>
      <c r="G268" t="str">
        <f t="shared" si="16"/>
        <v>yes</v>
      </c>
      <c r="H268" t="str">
        <f t="shared" si="14"/>
        <v>minimal effect</v>
      </c>
      <c r="I268" s="16" t="s">
        <v>13</v>
      </c>
    </row>
    <row r="269" spans="1:10">
      <c r="A269">
        <v>0.625</v>
      </c>
      <c r="B269">
        <v>0.05</v>
      </c>
      <c r="C269">
        <v>4.2054069288378002E-3</v>
      </c>
      <c r="D269">
        <v>6.3948092099468997E-3</v>
      </c>
      <c r="E269">
        <f>296</f>
        <v>296</v>
      </c>
      <c r="F269">
        <f t="shared" si="15"/>
        <v>1.6891891891891893E-4</v>
      </c>
      <c r="G269" t="str">
        <f t="shared" si="16"/>
        <v>no</v>
      </c>
      <c r="H269" t="str">
        <f t="shared" si="14"/>
        <v>minimal effect</v>
      </c>
      <c r="I269" s="16" t="s">
        <v>13</v>
      </c>
    </row>
    <row r="270" spans="1:10">
      <c r="A270">
        <v>0.625</v>
      </c>
      <c r="B270">
        <v>0.1</v>
      </c>
      <c r="C270">
        <v>0.966819436845342</v>
      </c>
      <c r="D270">
        <v>-9.4544263066165295E-5</v>
      </c>
      <c r="E270">
        <f>296</f>
        <v>296</v>
      </c>
      <c r="F270">
        <f t="shared" si="15"/>
        <v>1.6891891891891893E-4</v>
      </c>
      <c r="G270" t="str">
        <f t="shared" si="16"/>
        <v>no</v>
      </c>
      <c r="H270" t="str">
        <f t="shared" si="14"/>
        <v>minimal effect</v>
      </c>
      <c r="I270" s="16" t="s">
        <v>13</v>
      </c>
    </row>
    <row r="271" spans="1:10">
      <c r="A271" s="7">
        <v>0.3125</v>
      </c>
      <c r="B271" s="7">
        <v>1E-4</v>
      </c>
      <c r="C271" s="7">
        <v>0</v>
      </c>
      <c r="D271" s="7">
        <v>-0.92829361049210102</v>
      </c>
      <c r="E271">
        <f>296</f>
        <v>296</v>
      </c>
      <c r="F271" s="7">
        <f t="shared" si="15"/>
        <v>1.6891891891891893E-4</v>
      </c>
      <c r="G271" s="7" t="str">
        <f t="shared" si="16"/>
        <v>yes</v>
      </c>
      <c r="H271" s="7" t="str">
        <f t="shared" si="14"/>
        <v>large</v>
      </c>
      <c r="I271" s="19" t="s">
        <v>14</v>
      </c>
      <c r="J271" s="7"/>
    </row>
    <row r="272" spans="1:10">
      <c r="A272">
        <v>0.375</v>
      </c>
      <c r="B272">
        <v>1E-4</v>
      </c>
      <c r="C272">
        <v>0</v>
      </c>
      <c r="D272">
        <v>-0.47583003767883503</v>
      </c>
      <c r="E272">
        <f>296</f>
        <v>296</v>
      </c>
      <c r="F272">
        <f t="shared" si="15"/>
        <v>1.6891891891891893E-4</v>
      </c>
      <c r="G272" t="str">
        <f t="shared" si="16"/>
        <v>yes</v>
      </c>
      <c r="H272" t="str">
        <f t="shared" si="14"/>
        <v>large</v>
      </c>
      <c r="I272" s="18" t="s">
        <v>14</v>
      </c>
    </row>
    <row r="273" spans="1:9">
      <c r="A273">
        <v>0.375</v>
      </c>
      <c r="B273">
        <v>5.0000000000000001E-3</v>
      </c>
      <c r="C273">
        <v>5.9363952005096698E-2</v>
      </c>
      <c r="D273">
        <v>-3.2799100663650398E-3</v>
      </c>
      <c r="E273">
        <f>296</f>
        <v>296</v>
      </c>
      <c r="F273">
        <f t="shared" si="15"/>
        <v>1.6891891891891893E-4</v>
      </c>
      <c r="G273" t="str">
        <f t="shared" si="16"/>
        <v>no</v>
      </c>
      <c r="H273" t="str">
        <f t="shared" si="14"/>
        <v>minimal effect</v>
      </c>
      <c r="I273" s="18" t="s">
        <v>14</v>
      </c>
    </row>
    <row r="274" spans="1:9">
      <c r="A274">
        <v>0.375</v>
      </c>
      <c r="B274">
        <v>0.01</v>
      </c>
      <c r="C274">
        <v>0.48247984356764201</v>
      </c>
      <c r="D274">
        <v>-1.1382799494308699E-3</v>
      </c>
      <c r="E274">
        <f>296</f>
        <v>296</v>
      </c>
      <c r="F274">
        <f t="shared" si="15"/>
        <v>1.6891891891891893E-4</v>
      </c>
      <c r="G274" t="str">
        <f t="shared" si="16"/>
        <v>no</v>
      </c>
      <c r="H274" t="str">
        <f t="shared" si="14"/>
        <v>minimal effect</v>
      </c>
      <c r="I274" s="18" t="s">
        <v>14</v>
      </c>
    </row>
    <row r="275" spans="1:9">
      <c r="A275">
        <v>0.375</v>
      </c>
      <c r="B275">
        <v>0.05</v>
      </c>
      <c r="C275">
        <v>0.996152114779007</v>
      </c>
      <c r="D275">
        <v>-7.8412927119223699E-6</v>
      </c>
      <c r="E275">
        <f>296</f>
        <v>296</v>
      </c>
      <c r="F275">
        <f t="shared" si="15"/>
        <v>1.6891891891891893E-4</v>
      </c>
      <c r="G275" t="str">
        <f t="shared" si="16"/>
        <v>no</v>
      </c>
      <c r="H275" t="str">
        <f t="shared" si="14"/>
        <v>minimal effect</v>
      </c>
      <c r="I275" s="18" t="s">
        <v>14</v>
      </c>
    </row>
    <row r="276" spans="1:9">
      <c r="A276">
        <v>0.375</v>
      </c>
      <c r="B276">
        <v>0.1</v>
      </c>
      <c r="C276">
        <v>0.83763051907895203</v>
      </c>
      <c r="D276">
        <v>3.3728584144629799E-4</v>
      </c>
      <c r="E276">
        <f>296</f>
        <v>296</v>
      </c>
      <c r="F276">
        <f t="shared" si="15"/>
        <v>1.6891891891891893E-4</v>
      </c>
      <c r="G276" t="str">
        <f t="shared" si="16"/>
        <v>no</v>
      </c>
      <c r="H276" t="str">
        <f t="shared" si="14"/>
        <v>minimal effect</v>
      </c>
      <c r="I276" s="18" t="s">
        <v>14</v>
      </c>
    </row>
    <row r="277" spans="1:9">
      <c r="A277">
        <v>0.4375</v>
      </c>
      <c r="B277">
        <v>1E-4</v>
      </c>
      <c r="C277">
        <v>0</v>
      </c>
      <c r="D277">
        <v>0.479336901250842</v>
      </c>
      <c r="E277">
        <f>296</f>
        <v>296</v>
      </c>
      <c r="F277">
        <f t="shared" si="15"/>
        <v>1.6891891891891893E-4</v>
      </c>
      <c r="G277" t="str">
        <f t="shared" si="16"/>
        <v>yes</v>
      </c>
      <c r="H277" t="str">
        <f t="shared" si="14"/>
        <v>large</v>
      </c>
      <c r="I277" s="18" t="s">
        <v>14</v>
      </c>
    </row>
    <row r="278" spans="1:9">
      <c r="A278">
        <v>0.4375</v>
      </c>
      <c r="B278">
        <v>5.0000000000000001E-3</v>
      </c>
      <c r="C278">
        <v>6.1363567647303903E-119</v>
      </c>
      <c r="D278">
        <v>-6.0037916770059201E-2</v>
      </c>
      <c r="E278">
        <f>296</f>
        <v>296</v>
      </c>
      <c r="F278">
        <f t="shared" si="15"/>
        <v>1.6891891891891893E-4</v>
      </c>
      <c r="G278" t="str">
        <f t="shared" si="16"/>
        <v>yes</v>
      </c>
      <c r="H278" t="str">
        <f t="shared" si="14"/>
        <v>minimal effect</v>
      </c>
      <c r="I278" s="18" t="s">
        <v>14</v>
      </c>
    </row>
    <row r="279" spans="1:9">
      <c r="A279">
        <v>0.4375</v>
      </c>
      <c r="B279">
        <v>0.01</v>
      </c>
      <c r="C279">
        <v>4.1232881736151902E-2</v>
      </c>
      <c r="D279">
        <v>-3.7055135195795002E-3</v>
      </c>
      <c r="E279">
        <f>296</f>
        <v>296</v>
      </c>
      <c r="F279">
        <f t="shared" si="15"/>
        <v>1.6891891891891893E-4</v>
      </c>
      <c r="G279" t="str">
        <f t="shared" si="16"/>
        <v>no</v>
      </c>
      <c r="H279" t="str">
        <f t="shared" si="14"/>
        <v>minimal effect</v>
      </c>
      <c r="I279" s="18" t="s">
        <v>14</v>
      </c>
    </row>
    <row r="280" spans="1:9">
      <c r="A280">
        <v>0.4375</v>
      </c>
      <c r="B280">
        <v>0.05</v>
      </c>
      <c r="C280">
        <v>1.1961629283961E-2</v>
      </c>
      <c r="D280">
        <v>-3.8794821039563202E-3</v>
      </c>
      <c r="E280">
        <f>296</f>
        <v>296</v>
      </c>
      <c r="F280">
        <f t="shared" si="15"/>
        <v>1.6891891891891893E-4</v>
      </c>
      <c r="G280" t="str">
        <f t="shared" si="16"/>
        <v>no</v>
      </c>
      <c r="H280" t="str">
        <f t="shared" si="14"/>
        <v>minimal effect</v>
      </c>
      <c r="I280" s="18" t="s">
        <v>14</v>
      </c>
    </row>
    <row r="281" spans="1:9">
      <c r="A281">
        <v>0.4375</v>
      </c>
      <c r="B281">
        <v>0.1</v>
      </c>
      <c r="C281">
        <v>0.99715850703330899</v>
      </c>
      <c r="D281">
        <v>-5.5017981363059699E-6</v>
      </c>
      <c r="E281">
        <f>296</f>
        <v>296</v>
      </c>
      <c r="F281">
        <f t="shared" si="15"/>
        <v>1.6891891891891893E-4</v>
      </c>
      <c r="G281" t="str">
        <f t="shared" si="16"/>
        <v>no</v>
      </c>
      <c r="H281" t="str">
        <f t="shared" si="14"/>
        <v>minimal effect</v>
      </c>
      <c r="I281" s="18" t="s">
        <v>14</v>
      </c>
    </row>
    <row r="282" spans="1:9">
      <c r="A282">
        <v>0.5</v>
      </c>
      <c r="B282">
        <v>1E-4</v>
      </c>
      <c r="C282">
        <v>0</v>
      </c>
      <c r="D282">
        <v>0.554428057902143</v>
      </c>
      <c r="E282">
        <f>296</f>
        <v>296</v>
      </c>
      <c r="F282">
        <f t="shared" si="15"/>
        <v>1.6891891891891893E-4</v>
      </c>
      <c r="G282" t="str">
        <f t="shared" si="16"/>
        <v>yes</v>
      </c>
      <c r="H282" t="str">
        <f t="shared" si="14"/>
        <v>large</v>
      </c>
      <c r="I282" s="18" t="s">
        <v>14</v>
      </c>
    </row>
    <row r="283" spans="1:9">
      <c r="A283">
        <v>0.5</v>
      </c>
      <c r="B283">
        <v>5.0000000000000001E-4</v>
      </c>
      <c r="C283">
        <v>0</v>
      </c>
      <c r="D283">
        <v>-0.75703763684860303</v>
      </c>
      <c r="E283">
        <f>296</f>
        <v>296</v>
      </c>
      <c r="F283">
        <f t="shared" si="15"/>
        <v>1.6891891891891893E-4</v>
      </c>
      <c r="G283" t="str">
        <f t="shared" si="16"/>
        <v>yes</v>
      </c>
      <c r="H283" t="str">
        <f t="shared" si="14"/>
        <v>large</v>
      </c>
      <c r="I283" s="18" t="s">
        <v>14</v>
      </c>
    </row>
    <row r="284" spans="1:9">
      <c r="A284">
        <v>0.5</v>
      </c>
      <c r="B284">
        <v>0.05</v>
      </c>
      <c r="C284">
        <v>0.35650293931795801</v>
      </c>
      <c r="D284">
        <v>-1.40088061675453E-3</v>
      </c>
      <c r="E284">
        <f>296</f>
        <v>296</v>
      </c>
      <c r="F284">
        <f t="shared" si="15"/>
        <v>1.6891891891891893E-4</v>
      </c>
      <c r="G284" t="str">
        <f t="shared" si="16"/>
        <v>no</v>
      </c>
      <c r="H284" t="str">
        <f t="shared" si="14"/>
        <v>minimal effect</v>
      </c>
      <c r="I284" s="18" t="s">
        <v>14</v>
      </c>
    </row>
    <row r="285" spans="1:9">
      <c r="A285">
        <v>0.5</v>
      </c>
      <c r="B285">
        <v>0.1</v>
      </c>
      <c r="C285">
        <v>0.13489991123968101</v>
      </c>
      <c r="D285">
        <v>-2.2724671501860301E-3</v>
      </c>
      <c r="E285">
        <f>296</f>
        <v>296</v>
      </c>
      <c r="F285">
        <f t="shared" si="15"/>
        <v>1.6891891891891893E-4</v>
      </c>
      <c r="G285" t="str">
        <f t="shared" si="16"/>
        <v>no</v>
      </c>
      <c r="H285" t="str">
        <f t="shared" si="14"/>
        <v>minimal effect</v>
      </c>
      <c r="I285" s="18" t="s">
        <v>14</v>
      </c>
    </row>
    <row r="286" spans="1:9">
      <c r="A286">
        <v>0.5625</v>
      </c>
      <c r="B286">
        <v>1E-4</v>
      </c>
      <c r="C286">
        <v>0</v>
      </c>
      <c r="D286">
        <v>0.69729209262087499</v>
      </c>
      <c r="E286">
        <f>296</f>
        <v>296</v>
      </c>
      <c r="F286">
        <f t="shared" si="15"/>
        <v>1.6891891891891893E-4</v>
      </c>
      <c r="G286" t="str">
        <f t="shared" si="16"/>
        <v>yes</v>
      </c>
      <c r="H286" t="str">
        <f t="shared" si="14"/>
        <v>large</v>
      </c>
      <c r="I286" s="18" t="s">
        <v>14</v>
      </c>
    </row>
    <row r="287" spans="1:9">
      <c r="A287">
        <v>0.5625</v>
      </c>
      <c r="B287">
        <v>5.0000000000000001E-4</v>
      </c>
      <c r="C287">
        <v>0</v>
      </c>
      <c r="D287">
        <v>-0.66711382438518796</v>
      </c>
      <c r="E287">
        <f>296</f>
        <v>296</v>
      </c>
      <c r="F287">
        <f t="shared" si="15"/>
        <v>1.6891891891891893E-4</v>
      </c>
      <c r="G287" t="str">
        <f t="shared" si="16"/>
        <v>yes</v>
      </c>
      <c r="H287" t="str">
        <f t="shared" si="14"/>
        <v>large</v>
      </c>
      <c r="I287" s="18" t="s">
        <v>14</v>
      </c>
    </row>
    <row r="288" spans="1:9">
      <c r="A288">
        <v>0.5625</v>
      </c>
      <c r="B288">
        <v>0.01</v>
      </c>
      <c r="C288">
        <v>1.5240582332131599E-15</v>
      </c>
      <c r="D288">
        <v>5.1988800762179301E-2</v>
      </c>
      <c r="E288">
        <f>296</f>
        <v>296</v>
      </c>
      <c r="F288">
        <f t="shared" si="15"/>
        <v>1.6891891891891893E-4</v>
      </c>
      <c r="G288" t="str">
        <f t="shared" si="16"/>
        <v>yes</v>
      </c>
      <c r="H288" t="str">
        <f t="shared" si="14"/>
        <v>minimal effect</v>
      </c>
      <c r="I288" s="18" t="s">
        <v>14</v>
      </c>
    </row>
    <row r="289" spans="1:9">
      <c r="A289">
        <v>0.5625</v>
      </c>
      <c r="B289">
        <v>0.05</v>
      </c>
      <c r="C289">
        <v>2.5699766754158201E-64</v>
      </c>
      <c r="D289">
        <v>3.8430826924261398E-2</v>
      </c>
      <c r="E289">
        <f>296</f>
        <v>296</v>
      </c>
      <c r="F289">
        <f t="shared" si="15"/>
        <v>1.6891891891891893E-4</v>
      </c>
      <c r="G289" t="str">
        <f t="shared" si="16"/>
        <v>yes</v>
      </c>
      <c r="H289" t="str">
        <f t="shared" si="14"/>
        <v>minimal effect</v>
      </c>
      <c r="I289" s="18" t="s">
        <v>14</v>
      </c>
    </row>
    <row r="290" spans="1:9">
      <c r="A290">
        <v>0.5625</v>
      </c>
      <c r="B290">
        <v>0.1</v>
      </c>
      <c r="C290">
        <v>5.8128370103939996E-4</v>
      </c>
      <c r="D290">
        <v>5.6082294782901602E-3</v>
      </c>
      <c r="E290">
        <f>296</f>
        <v>296</v>
      </c>
      <c r="F290">
        <f t="shared" si="15"/>
        <v>1.6891891891891893E-4</v>
      </c>
      <c r="G290" t="str">
        <f t="shared" si="16"/>
        <v>no</v>
      </c>
      <c r="H290" t="str">
        <f t="shared" si="14"/>
        <v>minimal effect</v>
      </c>
      <c r="I290" s="18" t="s">
        <v>14</v>
      </c>
    </row>
    <row r="291" spans="1:9">
      <c r="A291">
        <v>0.625</v>
      </c>
      <c r="B291">
        <v>1E-4</v>
      </c>
      <c r="C291">
        <v>0</v>
      </c>
      <c r="D291">
        <v>0.72746386744783098</v>
      </c>
      <c r="E291">
        <f>296</f>
        <v>296</v>
      </c>
      <c r="F291">
        <f t="shared" si="15"/>
        <v>1.6891891891891893E-4</v>
      </c>
      <c r="G291" t="str">
        <f t="shared" si="16"/>
        <v>yes</v>
      </c>
      <c r="H291" t="str">
        <f t="shared" si="14"/>
        <v>large</v>
      </c>
      <c r="I291" s="18" t="s">
        <v>14</v>
      </c>
    </row>
    <row r="292" spans="1:9">
      <c r="A292">
        <v>0.625</v>
      </c>
      <c r="B292">
        <v>5.0000000000000001E-4</v>
      </c>
      <c r="C292">
        <v>0</v>
      </c>
      <c r="D292">
        <v>-0.55486699576345</v>
      </c>
      <c r="E292">
        <f>296</f>
        <v>296</v>
      </c>
      <c r="F292">
        <f t="shared" si="15"/>
        <v>1.6891891891891893E-4</v>
      </c>
      <c r="G292" t="str">
        <f t="shared" si="16"/>
        <v>yes</v>
      </c>
      <c r="H292" t="str">
        <f t="shared" si="14"/>
        <v>large</v>
      </c>
      <c r="I292" s="18" t="s">
        <v>14</v>
      </c>
    </row>
    <row r="293" spans="1:9">
      <c r="A293">
        <v>0.625</v>
      </c>
      <c r="B293">
        <v>1E-3</v>
      </c>
      <c r="C293">
        <v>5.6526226264325897E-196</v>
      </c>
      <c r="D293">
        <v>-0.31514762103502503</v>
      </c>
      <c r="E293">
        <f>296</f>
        <v>296</v>
      </c>
      <c r="F293">
        <f t="shared" si="15"/>
        <v>1.6891891891891893E-4</v>
      </c>
      <c r="G293" t="str">
        <f t="shared" si="16"/>
        <v>yes</v>
      </c>
      <c r="H293" t="str">
        <f t="shared" si="14"/>
        <v>medium</v>
      </c>
      <c r="I293" s="18" t="s">
        <v>14</v>
      </c>
    </row>
    <row r="294" spans="1:9">
      <c r="A294">
        <v>0.625</v>
      </c>
      <c r="B294">
        <v>5.0000000000000001E-3</v>
      </c>
      <c r="C294">
        <v>6.5364218793662401E-3</v>
      </c>
      <c r="D294">
        <v>1.54794505855712E-2</v>
      </c>
      <c r="E294">
        <f>296</f>
        <v>296</v>
      </c>
      <c r="F294">
        <f t="shared" si="15"/>
        <v>1.6891891891891893E-4</v>
      </c>
      <c r="G294" t="str">
        <f t="shared" si="16"/>
        <v>no</v>
      </c>
      <c r="H294" t="str">
        <f t="shared" si="14"/>
        <v>minimal effect</v>
      </c>
      <c r="I294" s="18" t="s">
        <v>14</v>
      </c>
    </row>
    <row r="295" spans="1:9">
      <c r="A295">
        <v>0.625</v>
      </c>
      <c r="B295">
        <v>0.01</v>
      </c>
      <c r="C295">
        <v>1.5155048052668299E-39</v>
      </c>
      <c r="D295">
        <v>5.15532642517188E-2</v>
      </c>
      <c r="E295">
        <f>296</f>
        <v>296</v>
      </c>
      <c r="F295">
        <f t="shared" si="15"/>
        <v>1.6891891891891893E-4</v>
      </c>
      <c r="G295" t="str">
        <f t="shared" si="16"/>
        <v>yes</v>
      </c>
      <c r="H295" t="str">
        <f t="shared" si="14"/>
        <v>minimal effect</v>
      </c>
      <c r="I295" s="18" t="s">
        <v>14</v>
      </c>
    </row>
    <row r="296" spans="1:9">
      <c r="A296">
        <v>0.625</v>
      </c>
      <c r="B296">
        <v>0.05</v>
      </c>
      <c r="C296">
        <v>2.4668863616947602E-59</v>
      </c>
      <c r="D296">
        <v>4.3394926940442898E-2</v>
      </c>
      <c r="E296">
        <f>296</f>
        <v>296</v>
      </c>
      <c r="F296">
        <f t="shared" si="15"/>
        <v>1.6891891891891893E-4</v>
      </c>
      <c r="G296" t="str">
        <f t="shared" si="16"/>
        <v>yes</v>
      </c>
      <c r="H296" t="str">
        <f t="shared" si="14"/>
        <v>minimal effect</v>
      </c>
      <c r="I296" s="18" t="s">
        <v>14</v>
      </c>
    </row>
    <row r="297" spans="1:9">
      <c r="A297">
        <v>0.625</v>
      </c>
      <c r="B297">
        <v>0.1</v>
      </c>
      <c r="C297">
        <v>5.4852012900812904E-38</v>
      </c>
      <c r="D297">
        <v>3.1505801449092499E-2</v>
      </c>
      <c r="E297">
        <f>296</f>
        <v>296</v>
      </c>
      <c r="F297">
        <f t="shared" si="15"/>
        <v>1.6891891891891893E-4</v>
      </c>
      <c r="G297" t="str">
        <f t="shared" si="16"/>
        <v>yes</v>
      </c>
      <c r="H297" t="str">
        <f t="shared" si="14"/>
        <v>minimal effect</v>
      </c>
      <c r="I297" s="18" t="s">
        <v>14</v>
      </c>
    </row>
  </sheetData>
  <conditionalFormatting sqref="D2:D20 D26:D297">
    <cfRule type="cellIs" dxfId="17" priority="37" operator="greaterThan">
      <formula>0</formula>
    </cfRule>
  </conditionalFormatting>
  <conditionalFormatting sqref="G2:G297">
    <cfRule type="cellIs" dxfId="16" priority="39" operator="equal">
      <formula>"no"</formula>
    </cfRule>
  </conditionalFormatting>
  <conditionalFormatting sqref="H2:H297">
    <cfRule type="cellIs" dxfId="15" priority="41" operator="equal">
      <formula>"medium"</formula>
    </cfRule>
    <cfRule type="cellIs" dxfId="14" priority="42" operator="equal">
      <formula>"small"</formula>
    </cfRule>
    <cfRule type="cellIs" dxfId="13" priority="43" operator="equal">
      <formula>"minimal effect"</formula>
    </cfRule>
    <cfRule type="cellIs" dxfId="12" priority="44" operator="equal">
      <formula>"no effect"</formula>
    </cfRule>
  </conditionalFormatting>
  <conditionalFormatting sqref="Q262:Q271">
    <cfRule type="cellIs" dxfId="11" priority="19" operator="greaterThan">
      <formula>0</formula>
    </cfRule>
  </conditionalFormatting>
  <conditionalFormatting sqref="Q275:Q301">
    <cfRule type="cellIs" dxfId="10" priority="31" operator="greaterThan">
      <formula>0</formula>
    </cfRule>
  </conditionalFormatting>
  <conditionalFormatting sqref="T262:T271">
    <cfRule type="cellIs" dxfId="9" priority="20" operator="equal">
      <formula>"no"</formula>
    </cfRule>
  </conditionalFormatting>
  <conditionalFormatting sqref="T275:T301">
    <cfRule type="cellIs" dxfId="8" priority="32" operator="equal">
      <formula>"no"</formula>
    </cfRule>
  </conditionalFormatting>
  <conditionalFormatting sqref="U262:U271">
    <cfRule type="cellIs" dxfId="7" priority="21" operator="equal">
      <formula>"medium"</formula>
    </cfRule>
    <cfRule type="cellIs" dxfId="6" priority="22" operator="equal">
      <formula>"small"</formula>
    </cfRule>
    <cfRule type="cellIs" dxfId="5" priority="23" operator="equal">
      <formula>"minimal effect"</formula>
    </cfRule>
    <cfRule type="cellIs" dxfId="4" priority="24" operator="equal">
      <formula>"no effect"</formula>
    </cfRule>
  </conditionalFormatting>
  <conditionalFormatting sqref="U275:U301">
    <cfRule type="cellIs" dxfId="3" priority="33" operator="equal">
      <formula>"medium"</formula>
    </cfRule>
    <cfRule type="cellIs" dxfId="2" priority="34" operator="equal">
      <formula>"small"</formula>
    </cfRule>
    <cfRule type="cellIs" dxfId="1" priority="35" operator="equal">
      <formula>"minimal effect"</formula>
    </cfRule>
    <cfRule type="cellIs" dxfId="0" priority="36" operator="equal">
      <formula>"no effect"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Johnson</dc:creator>
  <cp:lastModifiedBy>Kai Johnson</cp:lastModifiedBy>
  <dcterms:created xsi:type="dcterms:W3CDTF">2025-05-07T00:58:21Z</dcterms:created>
  <dcterms:modified xsi:type="dcterms:W3CDTF">2026-05-06T15:54:30Z</dcterms:modified>
</cp:coreProperties>
</file>